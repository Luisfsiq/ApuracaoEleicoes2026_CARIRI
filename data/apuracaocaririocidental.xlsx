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986310ad64a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por Município" sheetId="1" r:id="Rd85b4590ae9c4dd4"/>
    <x:sheet xmlns:r="http://schemas.openxmlformats.org/officeDocument/2006/relationships" name="Monteiro" sheetId="2" r:id="R81b03c2492e14051"/>
    <x:sheet xmlns:r="http://schemas.openxmlformats.org/officeDocument/2006/relationships" name="Sumé" sheetId="3" r:id="R33cf389fa8114bc5"/>
    <x:sheet xmlns:r="http://schemas.openxmlformats.org/officeDocument/2006/relationships" name="Camalaú" sheetId="4" r:id="Rb819188f6c0f49f6"/>
    <x:sheet xmlns:r="http://schemas.openxmlformats.org/officeDocument/2006/relationships" name="Congo" sheetId="5" r:id="R7b0e0cfb4d0b46bb"/>
    <x:sheet xmlns:r="http://schemas.openxmlformats.org/officeDocument/2006/relationships" name="Prata" sheetId="6" r:id="Re901d9e17ce04f04"/>
    <x:sheet xmlns:r="http://schemas.openxmlformats.org/officeDocument/2006/relationships" name="São João do Tigre" sheetId="7" r:id="R3c5dae33c9ba4665"/>
    <x:sheet xmlns:r="http://schemas.openxmlformats.org/officeDocument/2006/relationships" name="São Sebastião do Umbuzeiro" sheetId="8" r:id="Ra40e9f73da5a4952"/>
    <x:sheet xmlns:r="http://schemas.openxmlformats.org/officeDocument/2006/relationships" name="Ouro Velho" sheetId="9" r:id="R29967e1dd573465c"/>
    <x:sheet xmlns:r="http://schemas.openxmlformats.org/officeDocument/2006/relationships" name="Zabelê" sheetId="10" r:id="R67fe2f18bf6e4de0"/>
  </x:sheet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A3" authorId="0">
      <x:text>
        <x:r>
          <x:t>Linha ilustrativa — não é dado real. Mostra o formato esperado de preenchimento. Pode apagar os valores das colunas F a N (mantenha a fórmula da coluna Total, em O).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<x:sst xmlns:x="http://schemas.openxmlformats.org/spreadsheetml/2006/main">
  <x:si>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Resumo por município — Cariri Ocidental Paraibano</x:t>
  </x:si>
  <x:si>
    <x:t xml:space="preserve">Cada município tem sua própria aba (uma linha por seção). Esta aba soma tudo automaticamente — não edite as células abaixo.</x:t>
  </x:si>
  <x:si>
    <x:t xml:space="preserve">Município</x:t>
  </x:si>
  <x:si>
    <x:t xml:space="preserve">Zona</x:t>
  </x:si>
  <x:si>
    <x:t xml:space="preserve">Locais</x:t>
  </x:si>
  <x:si>
    <x:t xml:space="preserve">Seções</x:t>
  </x:si>
  <x:si>
    <x:t xml:space="preserve">Seções apuradas</x:t>
  </x:si>
  <x:si>
    <x:t xml:space="preserve">% apurado</x:t>
  </x:si>
  <x:si>
    <x:t xml:space="preserve">Presidente
Lula (PT)</x:t>
  </x:si>
  <x:si>
    <x:t xml:space="preserve">Presidente
Flávio Bolsonaro (PL)</x:t>
  </x:si>
  <x:si>
    <x:t xml:space="preserve">Governador
Lucas Ribeiro (PP)</x:t>
  </x:si>
  <x:si>
    <x:t xml:space="preserve">Governador
Cícero Lucena (MDB)</x:t>
  </x:si>
  <x:si>
    <x:t xml:space="preserve">Governador
Efraim Filho (PL)</x:t>
  </x:si>
  <x:si>
    <x:t xml:space="preserve">Senador
João Azevêdo (PSB)</x:t>
  </x:si>
  <x:si>
    <x:t xml:space="preserve">Senador
Veneziano Vital do Rêgo (MDB)</x:t>
  </x:si>
  <x:si>
    <x:t xml:space="preserve">Senador
Nabor Wanderley (Republicanos)</x:t>
  </x:si>
  <x:si>
    <x:t xml:space="preserve">Dep. Estadual
Michel Henrique (PP)</x:t>
  </x:si>
  <x:si>
    <x:t xml:space="preserve">Dep. Estadual
Anna Lorena (PP)</x:t>
  </x:si>
  <x:si>
    <x:t xml:space="preserve">Dep. Estadual
Dr. Romualdo (—)</x:t>
  </x:si>
  <x:si>
    <x:t xml:space="preserve">Monteiro</x:t>
  </x:si>
  <x:si>
    <x:t xml:space="preserve">29ª</x:t>
  </x:si>
  <x:si>
    <x:t xml:space="preserve">Sumé</x:t>
  </x:si>
  <x:si>
    <x:t xml:space="preserve">43ª</x:t>
  </x:si>
  <x:si>
    <x:t xml:space="preserve">Camalaú</x:t>
  </x:si>
  <x:si>
    <x:t xml:space="preserve">Congo</x:t>
  </x:si>
  <x:si>
    <x:t xml:space="preserve">Prata</x:t>
  </x:si>
  <x:si>
    <x:t xml:space="preserve">São João do Tigre</x:t>
  </x:si>
  <x:si>
    <x:t xml:space="preserve">São Sebastião do Umbuzeiro</x:t>
  </x:si>
  <x:si>
    <x:t xml:space="preserve">Ouro Velho</x:t>
  </x:si>
  <x:si>
    <x:t xml:space="preserve">Zabelê</x:t>
  </x:si>
  <x:si>
    <x:t xml:space="preserve">Total Cariri Ocidental</x:t>
  </x:si>
  <x:si>
    <x:t xml:space="preserve">—</x:t>
  </x:si>
  <x:si>
    <x:t xml:space="preserve">Quem lidera cada disputa no Cariri Ocidental (a partir dos votos já lançados)</x:t>
  </x:si>
  <x:si>
    <x:t xml:space="preserve">Presidente</x:t>
  </x:si>
  <x:si>
    <x:t xml:space="preserve">Governador</x:t>
  </x:si>
  <x:si>
    <x:t xml:space="preserve">Senador</x:t>
  </x:si>
  <x:si>
    <x:t xml:space="preserve">Dep. Estadual</x:t>
  </x:si>
  <x:si>
    <x:t xml:space="preserve">Apuração 2026 — Monteiro (Zona 29ª)</x:t>
  </x:si>
  <x:si>
    <x:t xml:space="preserve">Preencha só as células amarelas à medida que os boletins saírem. "Eleitores do local" é o total do local de votação inteiro (reúne várias seções), não o eleitorado de uma seção isolada. Marque "Status" = Apurada quando a seção sair — a aba Resumo soma tudo sozinha.</x:t>
  </x:si>
  <x:si>
    <x:t xml:space="preserve">EXEMPLO</x:t>
  </x:si>
  <x:si>
    <x:t xml:space="preserve">EMEF Tiradentes</x:t>
  </x:si>
  <x:si>
    <x:t xml:space="preserve">Apurada</x:t>
  </x:si>
  <x:si>
    <x:t xml:space="preserve">Local de votação</x:t>
  </x:si>
  <x:si>
    <x:t xml:space="preserve">Seção</x:t>
  </x:si>
  <x:si>
    <x:t xml:space="preserve">Eleitores do local
(referência)</x:t>
  </x:si>
  <x:si>
    <x:t xml:space="preserve">Status</x:t>
  </x:si>
  <x:si>
    <x:t xml:space="preserve">UEPB Campus VI</x:t>
  </x:si>
  <x:si>
    <x:t xml:space="preserve">Pendente</x:t>
  </x:si>
  <x:si>
    <x:t xml:space="preserve">Colégio Nossa Senhora de Lourdes</x:t>
  </x:si>
  <x:si>
    <x:t xml:space="preserve">EMEF II Profª Maria do Socorro Aragão Liberal</x:t>
  </x:si>
  <x:si>
    <x:t xml:space="preserve">UBS José Genival de Souza (Boa Esperança)</x:t>
  </x:si>
  <x:si>
    <x:t xml:space="preserve">Posto de Saúde Pedro Domingos da Silva (Bom Nome)</x:t>
  </x:si>
  <x:si>
    <x:t xml:space="preserve">EMEIEF Tobias Remígio Gomes (Cacimba de Cima)</x:t>
  </x:si>
  <x:si>
    <x:t xml:space="preserve">UBS Júlio Francisco de Souza</x:t>
  </x:si>
  <x:si>
    <x:t xml:space="preserve">Creche Municipal Francisca Mineiro Silva</x:t>
  </x:si>
  <x:si>
    <x:t xml:space="preserve">EMEF Profª Maria Lauriceia Freitas</x:t>
  </x:si>
  <x:si>
    <x:t xml:space="preserve">Instituto Educacional José Pereira do Nascimento</x:t>
  </x:si>
  <x:si>
    <x:t xml:space="preserve">E.E.C.I.T. José Leite de Souza</x:t>
  </x:si>
  <x:si>
    <x:t xml:space="preserve">IFPB — Campus Monteiro</x:t>
  </x:si>
  <x:si>
    <x:t xml:space="preserve">EMEF Santa Filomena</x:t>
  </x:si>
  <x:si>
    <x:t xml:space="preserve">Cadeia Pública de Monteiro-PB</x:t>
  </x:si>
  <x:si>
    <x:t xml:space="preserve">EMEF Laura Lopes Frazão (Queimadas)</x:t>
  </x:si>
  <x:si>
    <x:t xml:space="preserve">Esc. Mun. Laura Alves de Sousa (Santa Catarina)</x:t>
  </x:si>
  <x:si>
    <x:t xml:space="preserve">Apuração 2026 — Sumé (Zona 43ª)</x:t>
  </x:si>
  <x:si>
    <x:t xml:space="preserve">E.C.I.T. José Gonçalves de Queiroz</x:t>
  </x:si>
  <x:si>
    <x:t xml:space="preserve">Escola de Campo de Pio X</x:t>
  </x:si>
  <x:si>
    <x:t xml:space="preserve">U.M.E.I.E.F. Zélia Braz Vieira da Silva</x:t>
  </x:si>
  <x:si>
    <x:t xml:space="preserve">U.M.E.I.E.F. Maria Leite Rafael</x:t>
  </x:si>
  <x:si>
    <x:t xml:space="preserve">U.M.E.I.E.F. Gonçala Rodrigues de Freitas</x:t>
  </x:si>
  <x:si>
    <x:t xml:space="preserve">U.M.E.F. Padre Paulo Roberto de Oliveira</x:t>
  </x:si>
  <x:si>
    <x:t xml:space="preserve">Apuração 2026 — Camalaú (Zona 29ª)</x:t>
  </x:si>
  <x:si>
    <x:t xml:space="preserve">Grupo Escolar Severino Lucas da Silva</x:t>
  </x:si>
  <x:si>
    <x:t xml:space="preserve">E.C.I.T.E. Pedro Bezerra Filho</x:t>
  </x:si>
  <x:si>
    <x:t xml:space="preserve">EMEF Francisco Chaves Ventura</x:t>
  </x:si>
  <x:si>
    <x:t xml:space="preserve">Apuração 2026 — Congo (Zona 43ª)</x:t>
  </x:si>
  <x:si>
    <x:t xml:space="preserve">Escola Municipal de Ensino Fundamental do Congo</x:t>
  </x:si>
  <x:si>
    <x:t xml:space="preserve">E.C.I.T. Manoel Alves Campos</x:t>
  </x:si>
  <x:si>
    <x:t xml:space="preserve">Apuração 2026 — Prata (Zona 43ª)</x:t>
  </x:si>
  <x:si>
    <x:t xml:space="preserve">E.C.I. Francisco de Assis Gonzaga</x:t>
  </x:si>
  <x:si>
    <x:t xml:space="preserve">E.M.E.I.F. Profª Maria de Lourdes de Menezes</x:t>
  </x:si>
  <x:si>
    <x:t xml:space="preserve">Apuração 2026 — São João do Tigre (Zona 29ª)</x:t>
  </x:si>
  <x:si>
    <x:t xml:space="preserve">Escola Municipal Pedro Bezerra Filho</x:t>
  </x:si>
  <x:si>
    <x:t xml:space="preserve">Escola Municipal Manoel Ferreira da Silva</x:t>
  </x:si>
  <x:si>
    <x:t xml:space="preserve">E.E.E.F.M. Mário de Oliveira Chaves</x:t>
  </x:si>
  <x:si>
    <x:t xml:space="preserve">Apuração 2026 — São Sebastião do Umbuzeiro (Zona 29ª)</x:t>
  </x:si>
  <x:si>
    <x:t xml:space="preserve">E.M.E.I.F. Pedro Pedrosa Amador</x:t>
  </x:si>
  <x:si>
    <x:t xml:space="preserve">UBS de Mão Beijada</x:t>
  </x:si>
  <x:si>
    <x:t xml:space="preserve">E.C.I. Malaquias Batista Feitosa</x:t>
  </x:si>
  <x:si>
    <x:t xml:space="preserve">Apuração 2026 — Ouro Velho (Zona 43ª)</x:t>
  </x:si>
  <x:si>
    <x:t xml:space="preserve">Esc. Mun. em Tempo Integral Jacinto Dantas</x:t>
  </x:si>
  <x:si>
    <x:t xml:space="preserve">Secretaria Municipal de Agricultura</x:t>
  </x:si>
  <x:si>
    <x:t xml:space="preserve">Apuração 2026 — Zabelê (Zona 29ª)</x:t>
  </x:si>
  <x:si>
    <x:t xml:space="preserve">E.M.E.I.F. Maria Bezerra da Silva</x:t>
  </x:si>
  <x:si>
    <x:t xml:space="preserve">E.C.I. Maria Celeste do Nascimento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</x:si>
</x:sst>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</x:font>
    <x:font>
      <x:b/>
      <x:sz val="14"/>
      <x:color rgb="FFFFFFFF"/>
      <x:name val="Arial"/>
    </x:font>
    <x:font>
      <x:i/>
      <x:sz val="9"/>
      <x:color rgb="FF6E6151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1"/>
      <x:name val="Arial"/>
    </x:font>
    <x:font>
      <x:b/>
      <x:sz val="10"/>
      <x:color rgb="FFB7215F"/>
      <x:name val="Arial"/>
    </x:font>
    <x:font>
      <x:b/>
      <x:i/>
      <x:sz val="9"/>
      <x:color rgb="FFA8432B"/>
      <x:name val="Arial"/>
    </x:font>
    <x:font>
      <x:i/>
      <x:sz val="10"/>
      <x:color rgb="FFA8432B"/>
      <x:name val="Arial"/>
    </x:font>
    <x:font>
      <x:b/>
      <x:sz val="10"/>
      <x:color rgb="FFC21D5D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B7215F"/>
      </x:patternFill>
    </x:fill>
    <x:fill>
      <x:patternFill patternType="solid">
        <x:fgColor rgb="FF2A2118"/>
      </x:patternFill>
    </x:fill>
    <x:fill>
      <x:patternFill patternType="solid">
        <x:fgColor rgb="FFFBE4EE"/>
      </x:patternFill>
    </x:fill>
    <x:fill>
      <x:patternFill patternType="solid">
        <x:fgColor rgb="FFF4F1EA"/>
      </x:patternFill>
    </x:fill>
    <x:fill>
      <x:patternFill patternType="solid">
        <x:fgColor rgb="FFE0D6C4"/>
      </x:patternFill>
    </x:fill>
    <x:fill>
      <x:patternFill patternType="solid">
        <x:fgColor rgb="FFFFF6CC"/>
      </x:patternFill>
    </x:fill>
    <x:fill>
      <x:patternFill patternType="solid">
        <x:fgColor rgb="FF2A2118"/>
      </x:patternFill>
    </x:fill>
    <x:fill>
      <x:patternFill patternType="solid">
        <x:fgColor rgb="FFFFF6CC"/>
      </x:patternFill>
    </x:fill>
    <x:fill>
      <x:patternFill patternType="solid">
        <x:fgColor rgb="FFFBE4EE"/>
      </x:patternFill>
    </x:fill>
    <x:fill>
      <x:patternFill patternType="solid">
        <x:fgColor rgb="FFFFFFFF"/>
      </x:patternFill>
    </x:fill>
    <x:fill>
      <x:patternFill patternType="solid">
        <x:fgColor rgb="FFF7F4ED"/>
      </x:patternFill>
    </x:fill>
    <x:fill>
      <x:patternFill patternType="solid">
        <x:fgColor rgb="FFE6DDCB"/>
      </x:patternFill>
    </x:fill>
  </x:fills>
  <x:borders count="4">
    <x:border/>
    <x:border>
      <x:left style="thin">
        <x:color rgb="FFC9BFA8"/>
      </x:left>
      <x:right style="thin">
        <x:color rgb="FFC9BFA8"/>
      </x:right>
      <x:top style="thin">
        <x:color rgb="FFC9BFA8"/>
      </x:top>
      <x:bottom style="thin">
        <x:color rgb="FFC9BFA8"/>
      </x:bottom>
    </x:border>
    <x:border>
      <x:top style="thin">
        <x:color rgb="FFC9BFA8"/>
      </x:top>
      <x:bottom style="thin">
        <x:color rgb="FFC9BFA8"/>
      </x:bottom>
    </x:border>
    <x:border>
      <x:right style="thin">
        <x:color rgb="FFC9BFA8"/>
      </x:right>
      <x:top style="thin">
        <x:color rgb="FFC9BFA8"/>
      </x:top>
      <x:bottom style="thin">
        <x:color rgb="FFC9BFA8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3" fillId="3" borderId="1" xfId="0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center" vertical="center"/>
    </x:xf>
    <x:xf numFmtId="9" fontId="4" fillId="4" borderId="1" xfId="0" applyNumberFormat="1" applyFont="1" applyFill="1" applyBorder="1" applyAlignment="1">
      <x:alignment horizontal="center" vertical="center"/>
    </x:xf>
    <x:xf numFmtId="0" fontId="5" fillId="4" borderId="1" xfId="0" applyFont="1" applyFill="1" applyBorder="1" applyAlignment="1">
      <x:alignment horizontal="center" vertical="center"/>
    </x:xf>
    <x:xf numFmtId="0" fontId="4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9" fontId="4" fillId="0" borderId="1" xfId="0" applyNumberFormat="1" applyFont="1" applyBorder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0" fontId="4" fillId="5" borderId="1" xfId="0" applyFont="1" applyFill="1" applyBorder="1" applyAlignment="1">
      <x:alignment horizontal="left" vertical="center"/>
    </x:xf>
    <x:xf numFmtId="0" fontId="4" fillId="5" borderId="1" xfId="0" applyFont="1" applyFill="1" applyBorder="1" applyAlignment="1">
      <x:alignment horizontal="center" vertical="center"/>
    </x:xf>
    <x:xf numFmtId="9" fontId="4" fillId="5" borderId="1" xfId="0" applyNumberFormat="1" applyFont="1" applyFill="1" applyBorder="1" applyAlignment="1">
      <x:alignment horizontal="center" vertical="center"/>
    </x:xf>
    <x:xf numFmtId="0" fontId="5" fillId="5" borderId="1" xfId="0" applyFont="1" applyFill="1" applyBorder="1" applyAlignment="1">
      <x:alignment horizontal="center" vertical="center"/>
    </x:xf>
    <x:xf numFmtId="0" fontId="5" fillId="6" borderId="1" xfId="0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center" vertical="center"/>
    </x:xf>
    <x:xf numFmtId="0" fontId="5" fillId="6" borderId="1" xfId="0" applyFont="1" applyFill="1" applyBorder="1" applyAlignment="1">
      <x:alignment horizontal="center" vertical="center"/>
    </x:xf>
    <x:xf numFmtId="9" fontId="5" fillId="6" borderId="1" xfId="0" applyNumberFormat="1" applyFont="1" applyFill="1" applyBorder="1" applyAlignment="1">
      <x:alignment horizontal="center" vertical="center"/>
    </x:xf>
    <x:xf numFmtId="0" fontId="5" fillId="0" borderId="1" xfId="0" applyFont="1" applyBorder="1" applyAlignment="1">
      <x:alignment horizontal="left" vertical="center"/>
    </x:xf>
    <x:xf numFmtId="0" fontId="8" fillId="0" borderId="0" xfId="0" applyFont="1" applyAlignment="1">
      <x:alignment horizontal="left" vertical="center"/>
    </x:xf>
    <x:xf numFmtId="0" fontId="9" fillId="0" borderId="1" xfId="0" applyFont="1" applyBorder="1" applyAlignment="1">
      <x:alignment horizontal="left" vertical="center"/>
    </x:xf>
    <x:xf numFmtId="0" fontId="9" fillId="0" borderId="1" xfId="0" applyFont="1" applyBorder="1" applyAlignment="1">
      <x:alignment horizontal="center" vertical="center"/>
    </x:xf>
    <x:xf numFmtId="0" fontId="4" fillId="7" borderId="1" xfId="0" applyFont="1" applyFill="1" applyBorder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0" fillId="0" borderId="0" xfId="0"/>
    <x:xf numFmtId="0" fontId="7" fillId="0" borderId="1" xfId="0" applyFont="1" applyBorder="1" applyAlignment="1">
      <x:alignment horizontal="left" vertical="center"/>
    </x:xf>
    <x:xf numFmtId="0" fontId="0" fillId="0" borderId="2" xfId="0" applyBorder="1"/>
    <x:xf numFmtId="0" fontId="0" fillId="0" borderId="3" xfId="0" applyBorder="1"/>
    <x:xf numFmtId="0" fontId="2" fillId="0" borderId="0" xfId="0" applyFont="1" applyAlignment="1">
      <x:alignment horizontal="left" vertical="center"/>
    </x:xf>
    <x:xf numFmtId="0" fontId="6" fillId="0" borderId="0" xfId="0" applyFont="1"/>
    <x:xf numFmtId="0" fontId="2" fillId="0" borderId="0" xfId="0" applyFont="1" applyAlignment="1">
      <x:alignment horizontal="left"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5" fillId="9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5" fillId="9" borderId="1" xfId="0" applyNumberFormat="1" applyFont="1" applyFill="1" applyBorder="1" applyAlignment="1">
      <x:alignment horizontal="center" vertical="center" wrapText="0"/>
    </x:xf>
    <x:xf numFmtId="0" fontId="4" fillId="9" borderId="1" xfId="0" applyNumberFormat="1" applyFont="1" applyFill="1" applyBorder="1" applyAlignment="1">
      <x:alignment wrapText="0"/>
    </x:xf>
    <x:xf numFmtId="0" fontId="4" fillId="9" borderId="1" xfId="0" applyNumberFormat="1" applyFont="1" applyFill="1" applyBorder="1" applyAlignment="1">
      <x:alignment horizontal="center" wrapText="0"/>
    </x:xf>
    <x:xf numFmtId="0" fontId="4" fillId="9" borderId="1" xfId="0" applyNumberFormat="1" applyFont="1" applyFill="1" applyBorder="1" applyAlignment="1">
      <x:alignment horizontal="center" vertical="center" wrapText="0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" xfId="0" applyNumberFormat="1" applyFont="1" applyFill="1" applyBorder="1"/>
    <x:xf numFmtId="0" fontId="5" fillId="10" borderId="1" xfId="0" applyNumberFormat="1" applyFont="1" applyFill="1" applyBorder="1" applyAlignment="1">
      <x:alignment wrapText="0"/>
    </x:xf>
    <x:xf numFmtId="0" fontId="5" fillId="10" borderId="1" xfId="0" applyNumberFormat="1" applyFont="1" applyFill="1" applyBorder="1" applyAlignment="1">
      <x:alignment horizontal="center" wrapText="0"/>
    </x:xf>
    <x:xf numFmtId="0" fontId="5" fillId="10" borderId="1" xfId="0" applyNumberFormat="1" applyFont="1" applyFill="1" applyBorder="1" applyAlignment="1">
      <x:alignment horizontal="center" vertical="center" wrapText="0"/>
    </x:xf>
    <x:xf numFmtId="0" fontId="9" fillId="0" borderId="1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center" vertical="center" wrapText="0"/>
    </x:xf>
    <x:xf numFmtId="0" fontId="9" fillId="0" borderId="1" xfId="0" applyNumberFormat="1" applyFont="1" applyFill="1" applyBorder="1" applyAlignment="1">
      <x:alignment wrapText="0"/>
    </x:xf>
    <x:xf numFmtId="0" fontId="9" fillId="0" borderId="1" xfId="0" applyNumberFormat="1" applyFont="1" applyFill="1" applyBorder="1" applyAlignment="1">
      <x:alignment horizontal="center" wrapText="0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1" xfId="0" applyNumberFormat="1" applyFont="1" applyFill="1" applyBorder="1"/>
    <x:xf numFmtId="0" fontId="5" fillId="11" borderId="1" xfId="0" applyNumberFormat="1" applyFont="1" applyFill="1" applyBorder="1" applyAlignment="1">
      <x:alignment wrapText="0"/>
    </x:xf>
    <x:xf numFmtId="0" fontId="5" fillId="11" borderId="1" xfId="0" applyNumberFormat="1" applyFont="1" applyFill="1" applyBorder="1" applyAlignment="1">
      <x:alignment horizontal="center" wrapText="0"/>
    </x:xf>
    <x:xf numFmtId="0" fontId="5" fillId="11" borderId="1" xfId="0" applyNumberFormat="1" applyFont="1" applyFill="1" applyBorder="1" applyAlignment="1">
      <x:alignment horizontal="center" vertical="center" wrapText="0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1" xfId="0" applyNumberFormat="1" applyFont="1" applyFill="1" applyBorder="1"/>
    <x:xf numFmtId="0" fontId="5" fillId="12" borderId="1" xfId="0" applyNumberFormat="1" applyFont="1" applyFill="1" applyBorder="1" applyAlignment="1">
      <x:alignment wrapText="0"/>
    </x:xf>
    <x:xf numFmtId="0" fontId="5" fillId="12" borderId="1" xfId="0" applyNumberFormat="1" applyFont="1" applyFill="1" applyBorder="1" applyAlignment="1">
      <x:alignment horizontal="center" wrapText="0"/>
    </x:xf>
    <x:xf numFmtId="0" fontId="5" fillId="12" borderId="1" xfId="0" applyNumberFormat="1" applyFont="1" applyFill="1" applyBorder="1" applyAlignment="1">
      <x:alignment horizontal="center" vertical="center" wrapText="0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1" xfId="0" applyNumberFormat="1" applyFont="1" applyFill="1" applyBorder="1"/>
    <x:xf numFmtId="0" fontId="5" fillId="13" borderId="1" xfId="0" applyNumberFormat="1" applyFont="1" applyFill="1" applyBorder="1" applyAlignment="1">
      <x:alignment wrapText="0"/>
    </x:xf>
    <x:xf numFmtId="0" fontId="5" fillId="13" borderId="1" xfId="0" applyNumberFormat="1" applyFont="1" applyFill="1" applyBorder="1" applyAlignment="1">
      <x:alignment horizontal="center" wrapText="0"/>
    </x:xf>
    <x:xf numFmtId="0" fontId="5" fillId="13" borderId="1" xfId="0" applyNumberFormat="1" applyFont="1" applyFill="1" applyBorder="1" applyAlignment="1">
      <x:alignment horizontal="center" vertical="center" wrapText="0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left"/>
    </x:xf>
    <x:xf numFmtId="0" fontId="5" fillId="0" borderId="1" xfId="0" applyNumberFormat="1" applyFont="1" applyFill="1" applyBorder="1" applyAlignment="1">
      <x:alignment horizontal="left" vertical="center"/>
    </x:xf>
    <x:xf numFmtId="0" fontId="10" fillId="0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9BFA8"/>
      <x:rgbColor rgb="FF808080"/>
      <x:rgbColor rgb="FF9999FF"/>
      <x:rgbColor rgb="FFB7215F"/>
      <x:rgbColor rgb="FFFFF6CC"/>
      <x:rgbColor rgb="FFF4F1EA"/>
      <x:rgbColor rgb="FF660066"/>
      <x:rgbColor rgb="FFFF8080"/>
      <x:rgbColor rgb="FF0066CC"/>
      <x:rgbColor rgb="FFFBE4E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E0D6C4"/>
      <x:rgbColor rgb="FF3366FF"/>
      <x:rgbColor rgb="FF33CCCC"/>
      <x:rgbColor rgb="FF99CC00"/>
      <x:rgbColor rgb="FFFFCC00"/>
      <x:rgbColor rgb="FFFF9900"/>
      <x:rgbColor rgb="FFFF6600"/>
      <x:rgbColor rgb="FF6E6151"/>
      <x:rgbColor rgb="FF969696"/>
      <x:rgbColor rgb="FF003366"/>
      <x:rgbColor rgb="FF339966"/>
      <x:rgbColor rgb="FF003300"/>
      <x:rgbColor rgb="FF2A2118"/>
      <x:rgbColor rgb="FFA8432B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cfc40487ca4b02" /><Relationship Type="http://schemas.openxmlformats.org/officeDocument/2006/relationships/theme" Target="/xl/theme/theme1.xml" Id="R11596f35ebc84f99" /><Relationship Type="http://schemas.openxmlformats.org/officeDocument/2006/relationships/sharedStrings" Target="/xl/sharedStrings.xml" Id="Rea4975463ad44d93" /><Relationship Type="http://schemas.openxmlformats.org/officeDocument/2006/relationships/worksheet" Target="/xl/worksheets/sheet1.xml" Id="Rd85b4590ae9c4dd4" /><Relationship Type="http://schemas.openxmlformats.org/officeDocument/2006/relationships/worksheet" Target="/xl/worksheets/sheet2.xml" Id="R81b03c2492e14051" /><Relationship Type="http://schemas.openxmlformats.org/officeDocument/2006/relationships/worksheet" Target="/xl/worksheets/sheet3.xml" Id="R33cf389fa8114bc5" /><Relationship Type="http://schemas.openxmlformats.org/officeDocument/2006/relationships/worksheet" Target="/xl/worksheets/sheet4.xml" Id="Rb819188f6c0f49f6" /><Relationship Type="http://schemas.openxmlformats.org/officeDocument/2006/relationships/worksheet" Target="/xl/worksheets/sheet5.xml" Id="R7b0e0cfb4d0b46bb" /><Relationship Type="http://schemas.openxmlformats.org/officeDocument/2006/relationships/worksheet" Target="/xl/worksheets/sheet6.xml" Id="Re901d9e17ce04f04" /><Relationship Type="http://schemas.openxmlformats.org/officeDocument/2006/relationships/worksheet" Target="/xl/worksheets/sheet7.xml" Id="R3c5dae33c9ba4665" /><Relationship Type="http://schemas.openxmlformats.org/officeDocument/2006/relationships/worksheet" Target="/xl/worksheets/sheet8.xml" Id="Ra40e9f73da5a4952" /><Relationship Type="http://schemas.openxmlformats.org/officeDocument/2006/relationships/worksheet" Target="/xl/worksheets/sheet9.xml" Id="R29967e1dd573465c" /><Relationship Type="http://schemas.openxmlformats.org/officeDocument/2006/relationships/worksheet" Target="/xl/worksheets/sheet10.xml" Id="R67fe2f18bf6e4de0" /><Relationship Type="http://schemas.microsoft.com/office/2017/10/relationships/person" Target="/xl/persons/person.xml" Id="R2d4f1661b96d4fa3" /></Relationships>
</file>

<file path=xl/persons/person.xml><?xml version="1.0" encoding="utf-8"?>
<xltc:personList xmlns:xltc="http://schemas.microsoft.com/office/spreadsheetml/2018/threadedcomments">
  <xltc:person displayName="Unknown Author" id="{344A9000-AEC0-33C6-3447-3AB42BA6F344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b64edc79ed924a09" /><Relationship Type="http://schemas.openxmlformats.org/officeDocument/2006/relationships/vmlDrawing" Target="/xl/drawings/vmldrawing.vml" Id="R2185c26f5c7b4225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8.6640625" defaultRowHeight="14.399999618530273"/>
  <x:cols>
    <x:col min="1" max="1" width="27" customWidth="1"/>
    <x:col min="2" max="2" width="8" customWidth="1"/>
    <x:col min="3" max="4" width="9" customWidth="1"/>
    <x:col min="5" max="5" width="13" customWidth="1"/>
    <x:col min="6" max="6" width="11" customWidth="1"/>
    <x:col min="7" max="15" width="16" customWidth="1"/>
    <x:col min="17" max="17" width="10.33203125" customWidth="1"/>
    <x:col min="18" max="18" width="13.75" hidden="0" customWidth="1"/>
    <x:col min="19" max="19" width="13.75" hidden="0" customWidth="1"/>
    <x:col min="20" max="20" width="13.75" hidden="0" customWidth="1"/>
  </x:cols>
  <x:sheetData>
    <x:row r="1" ht="25.5" customHeight="1">
      <x:c r="A1" s="23" t="s">
        <x:v>0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</x:row>
    <x:row r="2">
      <x:c r="A2" s="28" t="s">
        <x:v>1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</x:row>
    <x:row r="4" ht="76.80000305175781" customHeight="1">
      <x:c r="A4" s="1" t="s">
        <x:v>2</x:v>
      </x:c>
      <x:c r="B4" s="1" t="s">
        <x:v>3</x:v>
      </x:c>
      <x:c r="C4" s="1" t="s">
        <x:v>4</x:v>
      </x:c>
      <x:c r="D4" s="1" t="s">
        <x:v>5</x:v>
      </x:c>
      <x:c r="E4" s="1" t="s">
        <x:v>6</x:v>
      </x:c>
      <x:c r="F4" s="1" t="s">
        <x:v>7</x:v>
      </x:c>
      <x:c r="G4" s="1" t="s">
        <x:v>8</x:v>
      </x:c>
      <x:c r="H4" s="1" t="s">
        <x:v>9</x:v>
      </x:c>
      <x:c r="I4" s="1" t="s">
        <x:v>10</x:v>
      </x:c>
      <x:c r="J4" s="1" t="s">
        <x:v>11</x:v>
      </x:c>
      <x:c r="K4" s="1" t="s">
        <x:v>12</x:v>
      </x:c>
      <x:c r="L4" s="1" t="s">
        <x:v>13</x:v>
      </x:c>
      <x:c r="M4" s="1" t="s">
        <x:v>14</x:v>
      </x:c>
      <x:c r="N4" s="1" t="s">
        <x:v>15</x:v>
      </x:c>
      <x:c r="O4" s="1" t="s">
        <x:v>16</x:v>
      </x:c>
      <x:c r="P4" s="1" t="s">
        <x:v>17</x:v>
      </x:c>
      <x:c r="Q4" s="1" t="s">
        <x:v>18</x:v>
      </x:c>
      <x:c r="R4" s="31" t="str">
        <x:v>Dep. Federal
Wellington Roberto</x:v>
      </x:c>
      <x:c r="S4" s="31" t="str">
        <x:v>Dep. Federal
Wilson Santiago</x:v>
      </x:c>
      <x:c r="T4" s="31" t="str">
        <x:v>Dep. Federal
Aguinaldo Ribeiro</x:v>
      </x:c>
    </x:row>
    <x:row r="5">
      <x:c r="A5" s="2" t="s">
        <x:v>19</x:v>
      </x:c>
      <x:c r="B5" s="3" t="s">
        <x:v>20</x:v>
      </x:c>
      <x:c r="C5" s="3">
        <x:v>17</x:v>
      </x:c>
      <x:c r="D5" s="3">
        <x:v>98</x:v>
      </x:c>
      <x:c r="E5" s="3" t="n">
        <x:f>COUNTIF(Monteiro!$E$5:$E$102,"Apurada")</x:f>
        <x:v>0</x:v>
      </x:c>
      <x:c r="F5" s="4" t="n">
        <x:f t="shared" ref="F5:F14" si="0">E5/D5</x:f>
        <x:v>0</x:v>
      </x:c>
      <x:c r="G5" s="5" t="n">
        <x:f>SUM(Monteiro!$F$5:$F$102)</x:f>
        <x:v>0</x:v>
      </x:c>
      <x:c r="H5" s="5" t="n">
        <x:f>SUM(Monteiro!$G$5:$G$102)</x:f>
        <x:v>0</x:v>
      </x:c>
      <x:c r="I5" s="5" t="n">
        <x:f>SUM(Monteiro!$H$5:$H$102)</x:f>
        <x:v>0</x:v>
      </x:c>
      <x:c r="J5" s="5" t="n">
        <x:f>SUM(Monteiro!$I$5:$I$102)</x:f>
        <x:v>0</x:v>
      </x:c>
      <x:c r="K5" s="5" t="n">
        <x:f>SUM(Monteiro!$J$5:$J$102)</x:f>
        <x:v>0</x:v>
      </x:c>
      <x:c r="L5" s="5" t="n">
        <x:f>SUM(Monteiro!$K$5:$K$102)</x:f>
        <x:v>0</x:v>
      </x:c>
      <x:c r="M5" s="5" t="n">
        <x:f>SUM(Monteiro!$L$5:$L$102)</x:f>
        <x:v>0</x:v>
      </x:c>
      <x:c r="N5" s="5" t="n">
        <x:f>SUM(Monteiro!$M$5:$M$102)</x:f>
        <x:v>0</x:v>
      </x:c>
      <x:c r="O5" s="5" t="n">
        <x:f>SUM(Monteiro!$N$5:$N$102)</x:f>
        <x:v>0</x:v>
      </x:c>
      <x:c r="P5" s="5" t="n">
        <x:f>SUM(Monteiro!$O$5:$O$102)</x:f>
        <x:v>0</x:v>
      </x:c>
      <x:c r="Q5" s="5" t="n">
        <x:f>SUM(Monteiro!$P$5:$P$102)</x:f>
        <x:v>0</x:v>
      </x:c>
      <x:c r="R5" s="50" t="n">
        <x:f>SUM('Monteiro'!$Q$5:$Q$102)</x:f>
        <x:v>0</x:v>
      </x:c>
      <x:c r="S5" s="50" t="n">
        <x:f>SUM('Monteiro'!$R$5:$R$102)</x:f>
        <x:v>0</x:v>
      </x:c>
      <x:c r="T5" s="50" t="n">
        <x:f>SUM('Monteiro'!$S$5:$S$102)</x:f>
        <x:v>0</x:v>
      </x:c>
    </x:row>
    <x:row r="6">
      <x:c r="A6" s="6" t="s">
        <x:v>21</x:v>
      </x:c>
      <x:c r="B6" s="7" t="s">
        <x:v>22</x:v>
      </x:c>
      <x:c r="C6" s="7">
        <x:v>6</x:v>
      </x:c>
      <x:c r="D6" s="7">
        <x:v>52</x:v>
      </x:c>
      <x:c r="E6" s="7" t="e">
        <x:f>COUNTIF(Sumé!$E$4:$E$55,"Apurada")</x:f>
        <x:v>#NAME?</x:v>
      </x:c>
      <x:c r="F6" s="8">
        <x:f t="shared" si="0"/>
        <x:v>0</x:v>
      </x:c>
      <x:c r="G6" s="9" t="e">
        <x:f>SUM(Sumé!$F$4:$F$55)</x:f>
        <x:v>#NAME?</x:v>
      </x:c>
      <x:c r="H6" s="9" t="e">
        <x:f>SUM(Sumé!$G$4:$G$55)</x:f>
        <x:v>#NAME?</x:v>
      </x:c>
      <x:c r="I6" s="9" t="e">
        <x:f>SUM(Sumé!$H$4:$H$55)</x:f>
        <x:v>#NAME?</x:v>
      </x:c>
      <x:c r="J6" s="9" t="e">
        <x:f>SUM(Sumé!$I$4:$I$55)</x:f>
        <x:v>#NAME?</x:v>
      </x:c>
      <x:c r="K6" s="9" t="e">
        <x:f>SUM(Sumé!$J$4:$J$55)</x:f>
        <x:v>#NAME?</x:v>
      </x:c>
      <x:c r="L6" s="9" t="e">
        <x:f>SUM(Sumé!$K$4:$K$55)</x:f>
        <x:v>#NAME?</x:v>
      </x:c>
      <x:c r="M6" s="9" t="e">
        <x:f>SUM(Sumé!$L$4:$L$55)</x:f>
        <x:v>#NAME?</x:v>
      </x:c>
      <x:c r="N6" s="9" t="e">
        <x:f>SUM(Sumé!$M$4:$M$55)</x:f>
        <x:v>#NAME?</x:v>
      </x:c>
      <x:c r="O6" s="9" t="e">
        <x:f>SUM(Sumé!$N$4:$N$55)</x:f>
        <x:v>#NAME?</x:v>
      </x:c>
      <x:c r="P6" s="9" t="e">
        <x:f>SUM(Sumé!$O$4:$O$55)</x:f>
        <x:v>#NAME?</x:v>
      </x:c>
      <x:c r="Q6" s="9" t="e">
        <x:f>SUM(Sumé!$P$4:$P$55)</x:f>
        <x:v>#NAME?</x:v>
      </x:c>
      <x:c r="R6" s="62" t="n">
        <x:f>SUM('Sumé'!$Q$4:$Q$55)</x:f>
        <x:v>0</x:v>
      </x:c>
      <x:c r="S6" s="62" t="n">
        <x:f>SUM('Sumé'!$R$4:$R$55)</x:f>
        <x:v>0</x:v>
      </x:c>
      <x:c r="T6" s="62" t="n">
        <x:f>SUM('Sumé'!$S$4:$S$55)</x:f>
        <x:v>0</x:v>
      </x:c>
    </x:row>
    <x:row r="7">
      <x:c r="A7" s="10" t="s">
        <x:v>23</x:v>
      </x:c>
      <x:c r="B7" s="11" t="s">
        <x:v>20</x:v>
      </x:c>
      <x:c r="C7" s="11">
        <x:v>3</x:v>
      </x:c>
      <x:c r="D7" s="11">
        <x:v>19</x:v>
      </x:c>
      <x:c r="E7" s="11" t="e">
        <x:f>COUNTIF(Camalaú!$E$4:$E$22,"Apurada")</x:f>
        <x:v>#NAME?</x:v>
      </x:c>
      <x:c r="F7" s="12">
        <x:f t="shared" si="0"/>
        <x:v>0</x:v>
      </x:c>
      <x:c r="G7" s="13" t="e">
        <x:f>SUM(Camalaú!$F$4:$F$22)</x:f>
        <x:v>#NAME?</x:v>
      </x:c>
      <x:c r="H7" s="13" t="e">
        <x:f>SUM(Camalaú!$G$4:$G$22)</x:f>
        <x:v>#NAME?</x:v>
      </x:c>
      <x:c r="I7" s="13" t="e">
        <x:f>SUM(Camalaú!$H$4:$H$22)</x:f>
        <x:v>#NAME?</x:v>
      </x:c>
      <x:c r="J7" s="13" t="e">
        <x:f>SUM(Camalaú!$I$4:$I$22)</x:f>
        <x:v>#NAME?</x:v>
      </x:c>
      <x:c r="K7" s="13" t="e">
        <x:f>SUM(Camalaú!$J$4:$J$22)</x:f>
        <x:v>#NAME?</x:v>
      </x:c>
      <x:c r="L7" s="13" t="e">
        <x:f>SUM(Camalaú!$K$4:$K$22)</x:f>
        <x:v>#NAME?</x:v>
      </x:c>
      <x:c r="M7" s="13" t="e">
        <x:f>SUM(Camalaú!$L$4:$L$22)</x:f>
        <x:v>#NAME?</x:v>
      </x:c>
      <x:c r="N7" s="13" t="e">
        <x:f>SUM(Camalaú!$M$4:$M$22)</x:f>
        <x:v>#NAME?</x:v>
      </x:c>
      <x:c r="O7" s="13" t="e">
        <x:f>SUM(Camalaú!$N$4:$N$22)</x:f>
        <x:v>#NAME?</x:v>
      </x:c>
      <x:c r="P7" s="13" t="e">
        <x:f>SUM(Camalaú!$O$4:$O$22)</x:f>
        <x:v>#NAME?</x:v>
      </x:c>
      <x:c r="Q7" s="13" t="e">
        <x:f>SUM(Camalaú!$P$4:$P$22)</x:f>
        <x:v>#NAME?</x:v>
      </x:c>
      <x:c r="R7" s="68" t="n">
        <x:f>SUM('Camalaú'!$Q$4:$Q$22)</x:f>
        <x:v>0</x:v>
      </x:c>
      <x:c r="S7" s="68" t="n">
        <x:f>SUM('Camalaú'!$R$4:$R$22)</x:f>
        <x:v>0</x:v>
      </x:c>
      <x:c r="T7" s="68" t="n">
        <x:f>SUM('Camalaú'!$S$4:$S$22)</x:f>
        <x:v>0</x:v>
      </x:c>
    </x:row>
    <x:row r="8">
      <x:c r="A8" s="6" t="s">
        <x:v>24</x:v>
      </x:c>
      <x:c r="B8" s="7" t="s">
        <x:v>22</x:v>
      </x:c>
      <x:c r="C8" s="7">
        <x:v>2</x:v>
      </x:c>
      <x:c r="D8" s="7">
        <x:v>16</x:v>
      </x:c>
      <x:c r="E8" s="7" t="n">
        <x:f>COUNTIF(Congo!$E$4:$E$19,"Apurada")</x:f>
        <x:v>0</x:v>
      </x:c>
      <x:c r="F8" s="8">
        <x:f t="shared" si="0"/>
        <x:v>0</x:v>
      </x:c>
      <x:c r="G8" s="9" t="n">
        <x:f>SUM(Congo!$F$4:$F$19)</x:f>
        <x:v>0</x:v>
      </x:c>
      <x:c r="H8" s="9" t="n">
        <x:f>SUM(Congo!$G$4:$G$19)</x:f>
        <x:v>0</x:v>
      </x:c>
      <x:c r="I8" s="9" t="n">
        <x:f>SUM(Congo!$H$4:$H$19)</x:f>
        <x:v>0</x:v>
      </x:c>
      <x:c r="J8" s="9" t="n">
        <x:f>SUM(Congo!$I$4:$I$19)</x:f>
        <x:v>0</x:v>
      </x:c>
      <x:c r="K8" s="9" t="n">
        <x:f>SUM(Congo!$J$4:$J$19)</x:f>
        <x:v>0</x:v>
      </x:c>
      <x:c r="L8" s="9" t="n">
        <x:f>SUM(Congo!$K$4:$K$19)</x:f>
        <x:v>0</x:v>
      </x:c>
      <x:c r="M8" s="9" t="n">
        <x:f>SUM(Congo!$L$4:$L$19)</x:f>
        <x:v>0</x:v>
      </x:c>
      <x:c r="N8" s="9" t="n">
        <x:f>SUM(Congo!$M$4:$M$19)</x:f>
        <x:v>0</x:v>
      </x:c>
      <x:c r="O8" s="9" t="n">
        <x:f>SUM(Congo!$N$4:$N$19)</x:f>
        <x:v>0</x:v>
      </x:c>
      <x:c r="P8" s="9" t="n">
        <x:f>SUM(Congo!$O$4:$O$19)</x:f>
        <x:v>0</x:v>
      </x:c>
      <x:c r="Q8" s="9" t="n">
        <x:f>SUM(Congo!$P$4:$P$19)</x:f>
        <x:v>0</x:v>
      </x:c>
      <x:c r="R8" s="62" t="n">
        <x:f>SUM('Congo'!$Q$4:$Q$19)</x:f>
        <x:v>0</x:v>
      </x:c>
      <x:c r="S8" s="62" t="n">
        <x:f>SUM('Congo'!$R$4:$R$19)</x:f>
        <x:v>0</x:v>
      </x:c>
      <x:c r="T8" s="62" t="n">
        <x:f>SUM('Congo'!$S$4:$S$19)</x:f>
        <x:v>0</x:v>
      </x:c>
    </x:row>
    <x:row r="9">
      <x:c r="A9" s="10" t="s">
        <x:v>25</x:v>
      </x:c>
      <x:c r="B9" s="11" t="s">
        <x:v>22</x:v>
      </x:c>
      <x:c r="C9" s="11">
        <x:v>2</x:v>
      </x:c>
      <x:c r="D9" s="11">
        <x:v>14</x:v>
      </x:c>
      <x:c r="E9" s="11" t="n">
        <x:f>COUNTIF(Prata!$E$4:$E$17,"Apurada")</x:f>
        <x:v>0</x:v>
      </x:c>
      <x:c r="F9" s="12">
        <x:f t="shared" si="0"/>
        <x:v>0</x:v>
      </x:c>
      <x:c r="G9" s="13" t="n">
        <x:f>SUM(Prata!$F$4:$F$17)</x:f>
        <x:v>0</x:v>
      </x:c>
      <x:c r="H9" s="13" t="n">
        <x:f>SUM(Prata!$G$4:$G$17)</x:f>
        <x:v>0</x:v>
      </x:c>
      <x:c r="I9" s="13" t="n">
        <x:f>SUM(Prata!$H$4:$H$17)</x:f>
        <x:v>0</x:v>
      </x:c>
      <x:c r="J9" s="13" t="n">
        <x:f>SUM(Prata!$I$4:$I$17)</x:f>
        <x:v>0</x:v>
      </x:c>
      <x:c r="K9" s="13" t="n">
        <x:f>SUM(Prata!$J$4:$J$17)</x:f>
        <x:v>0</x:v>
      </x:c>
      <x:c r="L9" s="13" t="n">
        <x:f>SUM(Prata!$K$4:$K$17)</x:f>
        <x:v>0</x:v>
      </x:c>
      <x:c r="M9" s="13" t="n">
        <x:f>SUM(Prata!$L$4:$L$17)</x:f>
        <x:v>0</x:v>
      </x:c>
      <x:c r="N9" s="13" t="n">
        <x:f>SUM(Prata!$M$4:$M$17)</x:f>
        <x:v>0</x:v>
      </x:c>
      <x:c r="O9" s="13" t="n">
        <x:f>SUM(Prata!$N$4:$N$17)</x:f>
        <x:v>0</x:v>
      </x:c>
      <x:c r="P9" s="13" t="n">
        <x:f>SUM(Prata!$O$4:$O$17)</x:f>
        <x:v>0</x:v>
      </x:c>
      <x:c r="Q9" s="13" t="n">
        <x:f>SUM(Prata!$P$4:$P$17)</x:f>
        <x:v>0</x:v>
      </x:c>
      <x:c r="R9" s="68" t="n">
        <x:f>SUM('Prata'!$Q$4:$Q$17)</x:f>
        <x:v>0</x:v>
      </x:c>
      <x:c r="S9" s="68" t="n">
        <x:f>SUM('Prata'!$R$4:$R$17)</x:f>
        <x:v>0</x:v>
      </x:c>
      <x:c r="T9" s="68" t="n">
        <x:f>SUM('Prata'!$S$4:$S$17)</x:f>
        <x:v>0</x:v>
      </x:c>
    </x:row>
    <x:row r="10">
      <x:c r="A10" s="6" t="s">
        <x:v>26</x:v>
      </x:c>
      <x:c r="B10" s="7" t="s">
        <x:v>20</x:v>
      </x:c>
      <x:c r="C10" s="7">
        <x:v>3</x:v>
      </x:c>
      <x:c r="D10" s="7">
        <x:v>13</x:v>
      </x:c>
      <x:c r="E10" s="7" t="n">
        <x:f>COUNTIF('São João do Tigre'!$E$4:$E$16,"Apurada")</x:f>
        <x:v>0</x:v>
      </x:c>
      <x:c r="F10" s="8">
        <x:f t="shared" si="0"/>
        <x:v>0</x:v>
      </x:c>
      <x:c r="G10" s="9" t="n">
        <x:f>SUM('São João do Tigre'!$F$4:$F$16)</x:f>
        <x:v>0</x:v>
      </x:c>
      <x:c r="H10" s="9" t="n">
        <x:f>SUM('São João do Tigre'!$G$4:$G$16)</x:f>
        <x:v>0</x:v>
      </x:c>
      <x:c r="I10" s="9" t="n">
        <x:f>SUM('São João do Tigre'!$H$4:$H$16)</x:f>
        <x:v>0</x:v>
      </x:c>
      <x:c r="J10" s="9" t="n">
        <x:f>SUM('São João do Tigre'!$I$4:$I$16)</x:f>
        <x:v>0</x:v>
      </x:c>
      <x:c r="K10" s="9" t="n">
        <x:f>SUM('São João do Tigre'!$J$4:$J$16)</x:f>
        <x:v>0</x:v>
      </x:c>
      <x:c r="L10" s="9" t="n">
        <x:f>SUM('São João do Tigre'!$K$4:$K$16)</x:f>
        <x:v>0</x:v>
      </x:c>
      <x:c r="M10" s="9" t="n">
        <x:f>SUM('São João do Tigre'!$L$4:$L$16)</x:f>
        <x:v>0</x:v>
      </x:c>
      <x:c r="N10" s="9" t="n">
        <x:f>SUM('São João do Tigre'!$M$4:$M$16)</x:f>
        <x:v>0</x:v>
      </x:c>
      <x:c r="O10" s="9" t="n">
        <x:f>SUM('São João do Tigre'!$N$4:$N$16)</x:f>
        <x:v>0</x:v>
      </x:c>
      <x:c r="P10" s="9" t="n">
        <x:f>SUM('São João do Tigre'!$O$4:$O$16)</x:f>
        <x:v>0</x:v>
      </x:c>
      <x:c r="Q10" s="9" t="n">
        <x:f>SUM('São João do Tigre'!$P$4:$P$16)</x:f>
        <x:v>0</x:v>
      </x:c>
      <x:c r="R10" s="62" t="n">
        <x:f>SUM('São João do Tigre'!$Q$4:$Q$16)</x:f>
        <x:v>0</x:v>
      </x:c>
      <x:c r="S10" s="62" t="n">
        <x:f>SUM('São João do Tigre'!$R$4:$R$16)</x:f>
        <x:v>0</x:v>
      </x:c>
      <x:c r="T10" s="62" t="n">
        <x:f>SUM('São João do Tigre'!$S$4:$S$16)</x:f>
        <x:v>0</x:v>
      </x:c>
    </x:row>
    <x:row r="11">
      <x:c r="A11" s="10" t="s">
        <x:v>27</x:v>
      </x:c>
      <x:c r="B11" s="11" t="s">
        <x:v>20</x:v>
      </x:c>
      <x:c r="C11" s="11">
        <x:v>3</x:v>
      </x:c>
      <x:c r="D11" s="11">
        <x:v>12</x:v>
      </x:c>
      <x:c r="E11" s="11" t="n">
        <x:f>COUNTIF('São Sebastião do Umbuzeiro'!$E$4:$E$15,"Apurada")</x:f>
        <x:v>0</x:v>
      </x:c>
      <x:c r="F11" s="12">
        <x:f t="shared" si="0"/>
        <x:v>0</x:v>
      </x:c>
      <x:c r="G11" s="13" t="n">
        <x:f>SUM('São Sebastião do Umbuzeiro'!$F$4:$F$15)</x:f>
        <x:v>0</x:v>
      </x:c>
      <x:c r="H11" s="13" t="n">
        <x:f>SUM('São Sebastião do Umbuzeiro'!$G$4:$G$15)</x:f>
        <x:v>0</x:v>
      </x:c>
      <x:c r="I11" s="13" t="n">
        <x:f>SUM('São Sebastião do Umbuzeiro'!$H$4:$H$15)</x:f>
        <x:v>0</x:v>
      </x:c>
      <x:c r="J11" s="13" t="n">
        <x:f>SUM('São Sebastião do Umbuzeiro'!$I$4:$I$15)</x:f>
        <x:v>0</x:v>
      </x:c>
      <x:c r="K11" s="13" t="n">
        <x:f>SUM('São Sebastião do Umbuzeiro'!$J$4:$J$15)</x:f>
        <x:v>0</x:v>
      </x:c>
      <x:c r="L11" s="13" t="n">
        <x:f>SUM('São Sebastião do Umbuzeiro'!$K$4:$K$15)</x:f>
        <x:v>0</x:v>
      </x:c>
      <x:c r="M11" s="13" t="n">
        <x:f>SUM('São Sebastião do Umbuzeiro'!$L$4:$L$15)</x:f>
        <x:v>0</x:v>
      </x:c>
      <x:c r="N11" s="13" t="n">
        <x:f>SUM('São Sebastião do Umbuzeiro'!$M$4:$M$15)</x:f>
        <x:v>0</x:v>
      </x:c>
      <x:c r="O11" s="13" t="n">
        <x:f>SUM('São Sebastião do Umbuzeiro'!$N$4:$N$15)</x:f>
        <x:v>0</x:v>
      </x:c>
      <x:c r="P11" s="13" t="n">
        <x:f>SUM('São Sebastião do Umbuzeiro'!$O$4:$O$15)</x:f>
        <x:v>0</x:v>
      </x:c>
      <x:c r="Q11" s="13" t="n">
        <x:f>SUM('São Sebastião do Umbuzeiro'!$P$4:$P$15)</x:f>
        <x:v>0</x:v>
      </x:c>
      <x:c r="R11" s="68" t="n">
        <x:f>SUM('São Sebastião do Umbuzeiro'!$Q$4:$Q$15)</x:f>
        <x:v>0</x:v>
      </x:c>
      <x:c r="S11" s="68" t="n">
        <x:f>SUM('São Sebastião do Umbuzeiro'!$R$4:$R$15)</x:f>
        <x:v>0</x:v>
      </x:c>
      <x:c r="T11" s="68" t="n">
        <x:f>SUM('São Sebastião do Umbuzeiro'!$S$4:$S$15)</x:f>
        <x:v>0</x:v>
      </x:c>
    </x:row>
    <x:row r="12">
      <x:c r="A12" s="6" t="s">
        <x:v>28</x:v>
      </x:c>
      <x:c r="B12" s="7" t="s">
        <x:v>22</x:v>
      </x:c>
      <x:c r="C12" s="7">
        <x:v>2</x:v>
      </x:c>
      <x:c r="D12" s="7">
        <x:v>12</x:v>
      </x:c>
      <x:c r="E12" s="7" t="n">
        <x:f>COUNTIF('Ouro Velho'!$E$4:$E$15,"Apurada")</x:f>
        <x:v>0</x:v>
      </x:c>
      <x:c r="F12" s="8">
        <x:f t="shared" si="0"/>
        <x:v>0</x:v>
      </x:c>
      <x:c r="G12" s="9" t="n">
        <x:f>SUM('Ouro Velho'!$F$4:$F$15)</x:f>
        <x:v>0</x:v>
      </x:c>
      <x:c r="H12" s="9" t="n">
        <x:f>SUM('Ouro Velho'!$G$4:$G$15)</x:f>
        <x:v>0</x:v>
      </x:c>
      <x:c r="I12" s="9" t="n">
        <x:f>SUM('Ouro Velho'!$H$4:$H$15)</x:f>
        <x:v>0</x:v>
      </x:c>
      <x:c r="J12" s="9" t="n">
        <x:f>SUM('Ouro Velho'!$I$4:$I$15)</x:f>
        <x:v>0</x:v>
      </x:c>
      <x:c r="K12" s="9" t="n">
        <x:f>SUM('Ouro Velho'!$J$4:$J$15)</x:f>
        <x:v>0</x:v>
      </x:c>
      <x:c r="L12" s="9" t="n">
        <x:f>SUM('Ouro Velho'!$K$4:$K$15)</x:f>
        <x:v>0</x:v>
      </x:c>
      <x:c r="M12" s="9" t="n">
        <x:f>SUM('Ouro Velho'!$L$4:$L$15)</x:f>
        <x:v>0</x:v>
      </x:c>
      <x:c r="N12" s="9" t="n">
        <x:f>SUM('Ouro Velho'!$M$4:$M$15)</x:f>
        <x:v>0</x:v>
      </x:c>
      <x:c r="O12" s="9" t="n">
        <x:f>SUM('Ouro Velho'!$N$4:$N$15)</x:f>
        <x:v>0</x:v>
      </x:c>
      <x:c r="P12" s="9" t="n">
        <x:f>SUM('Ouro Velho'!$O$4:$O$15)</x:f>
        <x:v>0</x:v>
      </x:c>
      <x:c r="Q12" s="9" t="n">
        <x:f>SUM('Ouro Velho'!$P$4:$P$15)</x:f>
        <x:v>0</x:v>
      </x:c>
      <x:c r="R12" s="62" t="n">
        <x:f>SUM('Ouro Velho'!$Q$4:$Q$15)</x:f>
        <x:v>0</x:v>
      </x:c>
      <x:c r="S12" s="62" t="n">
        <x:f>SUM('Ouro Velho'!$R$4:$R$15)</x:f>
        <x:v>0</x:v>
      </x:c>
      <x:c r="T12" s="62" t="n">
        <x:f>SUM('Ouro Velho'!$S$4:$S$15)</x:f>
        <x:v>0</x:v>
      </x:c>
    </x:row>
    <x:row r="13">
      <x:c r="A13" s="10" t="s">
        <x:v>29</x:v>
      </x:c>
      <x:c r="B13" s="11" t="s">
        <x:v>20</x:v>
      </x:c>
      <x:c r="C13" s="11">
        <x:v>2</x:v>
      </x:c>
      <x:c r="D13" s="11">
        <x:v>9</x:v>
      </x:c>
      <x:c r="E13" s="11" t="e">
        <x:f>COUNTIF(Zabelê!$E$4:$E$12,"Apurada")</x:f>
        <x:v>#NAME?</x:v>
      </x:c>
      <x:c r="F13" s="12">
        <x:f t="shared" si="0"/>
        <x:v>0</x:v>
      </x:c>
      <x:c r="G13" s="13" t="e">
        <x:f>SUM(Zabelê!$F$4:$F$12)</x:f>
        <x:v>#NAME?</x:v>
      </x:c>
      <x:c r="H13" s="13" t="e">
        <x:f>SUM(Zabelê!$G$4:$G$12)</x:f>
        <x:v>#NAME?</x:v>
      </x:c>
      <x:c r="I13" s="13" t="e">
        <x:f>SUM(Zabelê!$H$4:$H$12)</x:f>
        <x:v>#NAME?</x:v>
      </x:c>
      <x:c r="J13" s="13" t="e">
        <x:f>SUM(Zabelê!$I$4:$I$12)</x:f>
        <x:v>#NAME?</x:v>
      </x:c>
      <x:c r="K13" s="13" t="e">
        <x:f>SUM(Zabelê!$J$4:$J$12)</x:f>
        <x:v>#NAME?</x:v>
      </x:c>
      <x:c r="L13" s="13" t="e">
        <x:f>SUM(Zabelê!$K$4:$K$12)</x:f>
        <x:v>#NAME?</x:v>
      </x:c>
      <x:c r="M13" s="13" t="e">
        <x:f>SUM(Zabelê!$L$4:$L$12)</x:f>
        <x:v>#NAME?</x:v>
      </x:c>
      <x:c r="N13" s="13" t="e">
        <x:f>SUM(Zabelê!$M$4:$M$12)</x:f>
        <x:v>#NAME?</x:v>
      </x:c>
      <x:c r="O13" s="13" t="e">
        <x:f>SUM(Zabelê!$N$4:$N$12)</x:f>
        <x:v>#NAME?</x:v>
      </x:c>
      <x:c r="P13" s="13" t="e">
        <x:f>SUM(Zabelê!$O$4:$O$12)</x:f>
        <x:v>#NAME?</x:v>
      </x:c>
      <x:c r="Q13" s="13" t="e">
        <x:f>SUM(Zabelê!$P$4:$P$12)</x:f>
        <x:v>#NAME?</x:v>
      </x:c>
      <x:c r="R13" s="68" t="n">
        <x:f>SUM('Zabelê'!$Q$4:$Q$12)</x:f>
        <x:v>0</x:v>
      </x:c>
      <x:c r="S13" s="68" t="n">
        <x:f>SUM('Zabelê'!$R$4:$R$12)</x:f>
        <x:v>0</x:v>
      </x:c>
      <x:c r="T13" s="68" t="n">
        <x:f>SUM('Zabelê'!$S$4:$S$12)</x:f>
        <x:v>0</x:v>
      </x:c>
    </x:row>
    <x:row r="14">
      <x:c r="A14" s="14" t="s">
        <x:v>30</x:v>
      </x:c>
      <x:c r="B14" s="15" t="s">
        <x:v>31</x:v>
      </x:c>
      <x:c r="C14" s="16" t="n">
        <x:f>SUM(C5:C13)</x:f>
        <x:v>40</x:v>
      </x:c>
      <x:c r="D14" s="16" t="n">
        <x:f>SUM(D5:D13)</x:f>
        <x:v>245</x:v>
      </x:c>
      <x:c r="E14" s="16" t="e">
        <x:f>SUM(E5:E13)</x:f>
        <x:v>#NAME?</x:v>
      </x:c>
      <x:c r="F14" s="17">
        <x:f t="shared" si="0"/>
        <x:v>0</x:v>
      </x:c>
      <x:c r="G14" s="16" t="e">
        <x:f t="shared" ref="G14:Q14" si="1">SUM(G5:G13)</x:f>
        <x:v>#NAME?</x:v>
      </x:c>
      <x:c r="H14" s="16">
        <x:f t="shared" si="1"/>
        <x:v>0</x:v>
      </x:c>
      <x:c r="I14" s="16">
        <x:f t="shared" si="1"/>
        <x:v>0</x:v>
      </x:c>
      <x:c r="J14" s="16">
        <x:f t="shared" si="1"/>
        <x:v>0</x:v>
      </x:c>
      <x:c r="K14" s="16">
        <x:f t="shared" si="1"/>
        <x:v>0</x:v>
      </x:c>
      <x:c r="L14" s="16">
        <x:f t="shared" si="1"/>
        <x:v>0</x:v>
      </x:c>
      <x:c r="M14" s="16">
        <x:f t="shared" si="1"/>
        <x:v>0</x:v>
      </x:c>
      <x:c r="N14" s="16">
        <x:f t="shared" si="1"/>
        <x:v>0</x:v>
      </x:c>
      <x:c r="O14" s="16">
        <x:f t="shared" si="1"/>
        <x:v>0</x:v>
      </x:c>
      <x:c r="P14" s="16">
        <x:f t="shared" si="1"/>
        <x:v>0</x:v>
      </x:c>
      <x:c r="Q14" s="16">
        <x:f t="shared" si="1"/>
        <x:v>0</x:v>
      </x:c>
      <x:c r="R14" s="74" t="n">
        <x:f>SUM(R5:R13)</x:f>
        <x:v>0</x:v>
      </x:c>
      <x:c r="S14" s="74" t="n">
        <x:f>SUM(S5:S13)</x:f>
        <x:v>0</x:v>
      </x:c>
      <x:c r="T14" s="74" t="n">
        <x:f>SUM(T5:T13)</x:f>
        <x:v>0</x:v>
      </x:c>
    </x:row>
    <x:row r="17">
      <x:c r="A17" s="29" t="s">
        <x:v>32</x:v>
      </x:c>
      <x:c r="B17" s="24"/>
      <x:c r="C17" s="24"/>
      <x:c r="D17" s="24"/>
      <x:c r="E17" s="24"/>
      <x:c r="F17" s="24"/>
    </x:row>
    <x:row r="18">
      <x:c r="A18" s="18" t="s">
        <x:v>33</x:v>
      </x:c>
      <x:c r="B18" s="25" t="e">
        <x:f>IF(G14=H14,"Empate",INDEX({"Lula (PT)","Flávio Bolsonaro (PL)"},MATCH(MAX(G14:H14),G14:H14,0)))</x:f>
        <x:v>#NAME?</x:v>
      </x:c>
      <x:c r="C18" s="26"/>
      <x:c r="D18" s="27"/>
    </x:row>
    <x:row r="19">
      <x:c r="A19" s="18" t="s">
        <x:v>34</x:v>
      </x:c>
      <x:c r="B19" s="25" t="str">
        <x:f>IF(AND(I14=J14,J14=K14),"Empate",INDEX({"Lucas Ribeiro (PP)","Cícero Lucena (MDB)","Efraim Filho (PL)"},MATCH(MAX(I14:K14),I14:K14,0)))</x:f>
        <x:v>Empate</x:v>
      </x:c>
      <x:c r="C19" s="26"/>
      <x:c r="D19" s="27"/>
    </x:row>
    <x:row r="20">
      <x:c r="A20" s="18" t="s">
        <x:v>35</x:v>
      </x:c>
      <x:c r="B20" s="25" t="str">
        <x:f>IF(AND(L14=M14,M14=N14),"Empate",INDEX({"João Azevêdo (PSB)","Veneziano Vital do Rêgo (MDB)","Nabor Wanderley (Republicanos)"},MATCH(MAX(L14:N14),L14:N14,0)))</x:f>
        <x:v>Empate</x:v>
      </x:c>
      <x:c r="C20" s="26"/>
      <x:c r="D20" s="27"/>
    </x:row>
    <x:row r="21">
      <x:c r="A21" s="18" t="s">
        <x:v>36</x:v>
      </x:c>
      <x:c r="B21" s="25" t="str">
        <x:f>IF(AND(O14=P14,P14=Q14),"Empate",INDEX({"Michel Henrique (PP)","Anna Lorena (PP)","Dr. Romualdo (—)"},MATCH(MAX(O14:Q14),O14:Q14,0)))</x:f>
        <x:v>Empate</x:v>
      </x:c>
      <x:c r="C21" s="26"/>
      <x:c r="D21" s="27"/>
    </x:row>
    <x:row r="22">
      <x:c r="A22" s="78" t="str">
        <x:v>Dep. Federal</x:v>
      </x:c>
      <x:c r="B22" s="79" t="str">
        <x:f>IF(AND(R14=S14,S14=T14),"Empate",IF(R14=MAX(R14:T14),"Wellington Roberto",IF(S14=MAX(R14:T14),"Wilson Santiago","Aguinaldo Ribeiro")))</x:f>
        <x:v>Empate</x:v>
      </x:c>
    </x:row>
  </x:sheetData>
  <x:mergeCells>
    <x:mergeCell ref="B21:D21"/>
    <x:mergeCell ref="B20:D20"/>
    <x:mergeCell ref="B19:D19"/>
    <x:mergeCell ref="B18:D18"/>
    <x:mergeCell ref="A1:T1"/>
    <x:mergeCell ref="A2:T2"/>
    <x:mergeCell ref="A17:T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7215F"/>
  </x:sheetPr>
  <x:sheetViews>
    <x:sheetView workbookViewId="0">
      <x:pane ySplit="4" topLeftCell="A5" activePane="bottomLeft" state="frozen"/>
    </x:sheetView>
  </x:sheetViews>
  <x:sheetFormatPr defaultColWidth="8.6640625" defaultRowHeight="14.399999618530273"/>
  <x:cols>
    <x:col min="1" max="1" width="7" customWidth="1"/>
    <x:col min="2" max="2" width="44" customWidth="1"/>
    <x:col min="3" max="3" width="8" customWidth="1"/>
    <x:col min="4" max="4" width="13" customWidth="1"/>
    <x:col min="5" max="5" width="11" customWidth="1"/>
    <x:col min="6" max="16" width="16" customWidth="1"/>
    <x:col min="17" max="17" width="13.75" hidden="0" customWidth="1"/>
    <x:col min="18" max="18" width="13.75" hidden="0" customWidth="1"/>
    <x:col min="19" max="19" width="13.75" hidden="0" customWidth="1"/>
    <x:col min="20" max="20" width="13.75" hidden="0" customWidth="1"/>
  </x:cols>
  <x:sheetData>
    <x:row r="1" ht="25.5" customHeight="1">
      <x:c r="A1" s="23" t="s">
        <x:v>37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</x:row>
    <x:row r="2" ht="25.5" customHeight="1">
      <x:c r="A2" s="30" t="s">
        <x:v>38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</x:row>
    <x:row r="3">
      <x:c r="A3" s="19" t="s">
        <x:v>39</x:v>
      </x:c>
      <x:c r="B3" s="20" t="s">
        <x:v>40</x:v>
      </x:c>
      <x:c r="C3" s="21">
        <x:v>26</x:v>
      </x:c>
      <x:c r="D3" s="21">
        <x:v>2254</x:v>
      </x:c>
      <x:c r="E3" s="21" t="s">
        <x:v>41</x:v>
      </x:c>
      <x:c r="F3" s="21">
        <x:v>230</x:v>
      </x:c>
      <x:c r="G3" s="21">
        <x:v>175</x:v>
      </x:c>
      <x:c r="H3" s="21">
        <x:v>210</x:v>
      </x:c>
      <x:c r="I3" s="21">
        <x:v>145</x:v>
      </x:c>
      <x:c r="J3" s="21">
        <x:v>60</x:v>
      </x:c>
      <x:c r="K3" s="21">
        <x:v>198</x:v>
      </x:c>
      <x:c r="L3" s="21">
        <x:v>160</x:v>
      </x:c>
      <x:c r="M3" s="21">
        <x:v>50</x:v>
      </x:c>
      <x:c r="N3" s="21">
        <x:v>180</x:v>
      </x:c>
      <x:c r="O3" s="21">
        <x:v>90</x:v>
      </x:c>
      <x:c r="P3" s="21">
        <x:v>45</x:v>
      </x:c>
      <x:c r="Q3" s="54"/>
      <x:c r="R3" s="54"/>
      <x:c r="S3" s="54"/>
      <x:c r="T3" s="54" t="n">
        <x:f>SUM(F3:S3)</x:f>
        <x:v>1543</x:v>
      </x:c>
    </x:row>
    <x:row r="4" ht="57.75" customHeight="1">
      <x:c r="A4" s="1" t="s">
        <x:v>3</x:v>
      </x:c>
      <x:c r="B4" s="1" t="s">
        <x:v>42</x:v>
      </x:c>
      <x:c r="C4" s="1" t="s">
        <x:v>43</x:v>
      </x:c>
      <x:c r="D4" s="1" t="s">
        <x:v>44</x:v>
      </x:c>
      <x:c r="E4" s="1" t="s">
        <x:v>45</x:v>
      </x:c>
      <x:c r="F4" s="1" t="s">
        <x:v>8</x:v>
      </x:c>
      <x:c r="G4" s="1" t="s">
        <x:v>9</x:v>
      </x:c>
      <x:c r="H4" s="1" t="s">
        <x:v>10</x:v>
      </x:c>
      <x:c r="I4" s="1" t="s">
        <x:v>11</x:v>
      </x:c>
      <x:c r="J4" s="1" t="s">
        <x:v>12</x:v>
      </x:c>
      <x:c r="K4" s="1" t="s">
        <x:v>13</x:v>
      </x:c>
      <x:c r="L4" s="1" t="s">
        <x:v>14</x:v>
      </x:c>
      <x:c r="M4" s="1" t="s">
        <x:v>15</x:v>
      </x:c>
      <x:c r="N4" s="1" t="s">
        <x:v>16</x:v>
      </x:c>
      <x:c r="O4" s="1" t="s">
        <x:v>17</x:v>
      </x:c>
      <x:c r="P4" s="1" t="s">
        <x:v>18</x:v>
      </x:c>
      <x:c r="Q4" s="31" t="str">
        <x:v>Dep. Federal
Wellington Roberto</x:v>
      </x:c>
      <x:c r="R4" s="31" t="str">
        <x:v>Dep. Federal
Wilson Santiago</x:v>
      </x:c>
      <x:c r="S4" s="31" t="str">
        <x:v>Dep. Federal
Aguinaldo Ribeiro</x:v>
      </x:c>
      <x:c r="T4" s="31" t="str">
        <x:v>Total lançado
(14 candidatos)</x:v>
      </x:c>
    </x:row>
    <x:row r="5">
      <x:c r="A5" s="3" t="s">
        <x:v>20</x:v>
      </x:c>
      <x:c r="B5" s="2" t="s">
        <x:v>46</x:v>
      </x:c>
      <x:c r="C5" s="3">
        <x:v>16</x:v>
      </x:c>
      <x:c r="D5" s="3">
        <x:v>1639</x:v>
      </x:c>
      <x:c r="E5" s="3" t="s">
        <x:v>47</x:v>
      </x:c>
      <x:c r="F5" s="22">
        <x:v>0</x:v>
      </x:c>
      <x:c r="G5" s="22">
        <x:v>0</x:v>
      </x:c>
      <x:c r="H5" s="22">
        <x:v>0</x:v>
      </x:c>
      <x:c r="I5" s="22">
        <x:v>0</x:v>
      </x:c>
      <x:c r="J5" s="22">
        <x:v>0</x:v>
      </x:c>
      <x:c r="K5" s="22">
        <x:v>0</x:v>
      </x:c>
      <x:c r="L5" s="22">
        <x:v>0</x:v>
      </x:c>
      <x:c r="M5" s="22">
        <x:v>0</x:v>
      </x:c>
      <x:c r="N5" s="22">
        <x:v>0</x:v>
      </x:c>
      <x:c r="O5" s="22">
        <x:v>0</x:v>
      </x:c>
      <x:c r="P5" s="22">
        <x:v>0</x:v>
      </x:c>
      <x:c r="Q5" s="41" t="n">
        <x:f t="shared" ref="Q5:Q36" si="0">SUM(F5:P5)</x:f>
        <x:v>0</x:v>
      </x:c>
      <x:c r="R5" s="44" t="n">
        <x:v>0</x:v>
      </x:c>
      <x:c r="S5" s="44" t="n">
        <x:v>0</x:v>
      </x:c>
      <x:c r="T5" s="50" t="n">
        <x:f>SUM(F5:S5)</x:f>
        <x:v>0</x:v>
      </x:c>
    </x:row>
    <x:row r="6">
      <x:c r="A6" s="3" t="s">
        <x:v>20</x:v>
      </x:c>
      <x:c r="B6" s="2" t="s">
        <x:v>46</x:v>
      </x:c>
      <x:c r="C6" s="3">
        <x:v>17</x:v>
      </x:c>
      <x:c r="D6" s="3">
        <x:v>1639</x:v>
      </x:c>
      <x:c r="E6" s="3" t="s">
        <x:v>47</x:v>
      </x:c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41">
        <x:f t="shared" si="0"/>
      </x:c>
      <x:c r="R6" s="44"/>
      <x:c r="S6" s="44"/>
      <x:c r="T6" s="50" t="n">
        <x:f>SUM(F6:S6)</x:f>
        <x:v>0</x:v>
      </x:c>
    </x:row>
    <x:row r="7">
      <x:c r="A7" s="3" t="s">
        <x:v>20</x:v>
      </x:c>
      <x:c r="B7" s="2" t="s">
        <x:v>46</x:v>
      </x:c>
      <x:c r="C7" s="3">
        <x:v>18</x:v>
      </x:c>
      <x:c r="D7" s="3">
        <x:v>1639</x:v>
      </x:c>
      <x:c r="E7" s="3" t="s">
        <x:v>47</x:v>
      </x:c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41">
        <x:f t="shared" si="0"/>
      </x:c>
      <x:c r="R7" s="44"/>
      <x:c r="S7" s="44"/>
      <x:c r="T7" s="50" t="n">
        <x:f>SUM(F7:S7)</x:f>
        <x:v>0</x:v>
      </x:c>
    </x:row>
    <x:row r="8">
      <x:c r="A8" s="3" t="s">
        <x:v>20</x:v>
      </x:c>
      <x:c r="B8" s="2" t="s">
        <x:v>46</x:v>
      </x:c>
      <x:c r="C8" s="3">
        <x:v>19</x:v>
      </x:c>
      <x:c r="D8" s="3">
        <x:v>1639</x:v>
      </x:c>
      <x:c r="E8" s="3" t="s">
        <x:v>47</x:v>
      </x:c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41">
        <x:f t="shared" si="0"/>
      </x:c>
      <x:c r="R8" s="44"/>
      <x:c r="S8" s="44"/>
      <x:c r="T8" s="50" t="n">
        <x:f>SUM(F8:S8)</x:f>
        <x:v>0</x:v>
      </x:c>
    </x:row>
    <x:row r="9">
      <x:c r="A9" s="3" t="s">
        <x:v>20</x:v>
      </x:c>
      <x:c r="B9" s="2" t="s">
        <x:v>46</x:v>
      </x:c>
      <x:c r="C9" s="3">
        <x:v>20</x:v>
      </x:c>
      <x:c r="D9" s="3">
        <x:v>1639</x:v>
      </x:c>
      <x:c r="E9" s="3" t="s">
        <x:v>47</x:v>
      </x:c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41">
        <x:f t="shared" si="0"/>
      </x:c>
      <x:c r="R9" s="44"/>
      <x:c r="S9" s="44"/>
      <x:c r="T9" s="50" t="n">
        <x:f>SUM(F9:S9)</x:f>
        <x:v>0</x:v>
      </x:c>
    </x:row>
    <x:row r="10">
      <x:c r="A10" s="3" t="s">
        <x:v>20</x:v>
      </x:c>
      <x:c r="B10" s="2" t="s">
        <x:v>46</x:v>
      </x:c>
      <x:c r="C10" s="3">
        <x:v>21</x:v>
      </x:c>
      <x:c r="D10" s="3">
        <x:v>1639</x:v>
      </x:c>
      <x:c r="E10" s="3" t="s">
        <x:v>47</x:v>
      </x:c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41">
        <x:f t="shared" si="0"/>
      </x:c>
      <x:c r="R10" s="44"/>
      <x:c r="S10" s="44"/>
      <x:c r="T10" s="50" t="n">
        <x:f>SUM(F10:S10)</x:f>
        <x:v>0</x:v>
      </x:c>
    </x:row>
    <x:row r="11">
      <x:c r="A11" s="3" t="s">
        <x:v>20</x:v>
      </x:c>
      <x:c r="B11" s="2" t="s">
        <x:v>46</x:v>
      </x:c>
      <x:c r="C11" s="3">
        <x:v>30</x:v>
      </x:c>
      <x:c r="D11" s="3">
        <x:v>1639</x:v>
      </x:c>
      <x:c r="E11" s="3" t="s">
        <x:v>47</x:v>
      </x:c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41">
        <x:f t="shared" si="0"/>
      </x:c>
      <x:c r="R11" s="44"/>
      <x:c r="S11" s="44"/>
      <x:c r="T11" s="50" t="n">
        <x:f>SUM(F11:S11)</x:f>
        <x:v>0</x:v>
      </x:c>
    </x:row>
    <x:row r="12">
      <x:c r="A12" s="3" t="s">
        <x:v>20</x:v>
      </x:c>
      <x:c r="B12" s="2" t="s">
        <x:v>48</x:v>
      </x:c>
      <x:c r="C12" s="3">
        <x:v>22</x:v>
      </x:c>
      <x:c r="D12" s="3">
        <x:v>2702</x:v>
      </x:c>
      <x:c r="E12" s="3" t="s">
        <x:v>47</x:v>
      </x:c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41">
        <x:f t="shared" si="0"/>
      </x:c>
      <x:c r="R12" s="44"/>
      <x:c r="S12" s="44"/>
      <x:c r="T12" s="50" t="n">
        <x:f>SUM(F12:S12)</x:f>
        <x:v>0</x:v>
      </x:c>
    </x:row>
    <x:row r="13">
      <x:c r="A13" s="3" t="s">
        <x:v>20</x:v>
      </x:c>
      <x:c r="B13" s="2" t="s">
        <x:v>48</x:v>
      </x:c>
      <x:c r="C13" s="3">
        <x:v>27</x:v>
      </x:c>
      <x:c r="D13" s="3">
        <x:v>2702</x:v>
      </x:c>
      <x:c r="E13" s="3" t="s">
        <x:v>47</x:v>
      </x:c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41">
        <x:f t="shared" si="0"/>
      </x:c>
      <x:c r="R13" s="44"/>
      <x:c r="S13" s="44"/>
      <x:c r="T13" s="50" t="n">
        <x:f>SUM(F13:S13)</x:f>
        <x:v>0</x:v>
      </x:c>
    </x:row>
    <x:row r="14">
      <x:c r="A14" s="3" t="s">
        <x:v>20</x:v>
      </x:c>
      <x:c r="B14" s="2" t="s">
        <x:v>48</x:v>
      </x:c>
      <x:c r="C14" s="3">
        <x:v>40</x:v>
      </x:c>
      <x:c r="D14" s="3">
        <x:v>2702</x:v>
      </x:c>
      <x:c r="E14" s="3" t="s">
        <x:v>47</x:v>
      </x:c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41">
        <x:f t="shared" si="0"/>
      </x:c>
      <x:c r="R14" s="44"/>
      <x:c r="S14" s="44"/>
      <x:c r="T14" s="50" t="n">
        <x:f>SUM(F14:S14)</x:f>
        <x:v>0</x:v>
      </x:c>
    </x:row>
    <x:row r="15">
      <x:c r="A15" s="3" t="s">
        <x:v>20</x:v>
      </x:c>
      <x:c r="B15" s="2" t="s">
        <x:v>48</x:v>
      </x:c>
      <x:c r="C15" s="3">
        <x:v>41</x:v>
      </x:c>
      <x:c r="D15" s="3">
        <x:v>2702</x:v>
      </x:c>
      <x:c r="E15" s="3" t="s">
        <x:v>47</x:v>
      </x:c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41">
        <x:f t="shared" si="0"/>
      </x:c>
      <x:c r="R15" s="44"/>
      <x:c r="S15" s="44"/>
      <x:c r="T15" s="50" t="n">
        <x:f>SUM(F15:S15)</x:f>
        <x:v>0</x:v>
      </x:c>
    </x:row>
    <x:row r="16">
      <x:c r="A16" s="3" t="s">
        <x:v>20</x:v>
      </x:c>
      <x:c r="B16" s="2" t="s">
        <x:v>48</x:v>
      </x:c>
      <x:c r="C16" s="3">
        <x:v>104</x:v>
      </x:c>
      <x:c r="D16" s="3">
        <x:v>2702</x:v>
      </x:c>
      <x:c r="E16" s="3" t="s">
        <x:v>47</x:v>
      </x:c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41">
        <x:f t="shared" si="0"/>
      </x:c>
      <x:c r="R16" s="44"/>
      <x:c r="S16" s="44"/>
      <x:c r="T16" s="50" t="n">
        <x:f>SUM(F16:S16)</x:f>
        <x:v>0</x:v>
      </x:c>
    </x:row>
    <x:row r="17">
      <x:c r="A17" s="3" t="s">
        <x:v>20</x:v>
      </x:c>
      <x:c r="B17" s="2" t="s">
        <x:v>48</x:v>
      </x:c>
      <x:c r="C17" s="3">
        <x:v>110</x:v>
      </x:c>
      <x:c r="D17" s="3">
        <x:v>2702</x:v>
      </x:c>
      <x:c r="E17" s="3" t="s">
        <x:v>47</x:v>
      </x:c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41">
        <x:f t="shared" si="0"/>
      </x:c>
      <x:c r="R17" s="44"/>
      <x:c r="S17" s="44"/>
      <x:c r="T17" s="50" t="n">
        <x:f>SUM(F17:S17)</x:f>
        <x:v>0</x:v>
      </x:c>
    </x:row>
    <x:row r="18">
      <x:c r="A18" s="3" t="s">
        <x:v>20</x:v>
      </x:c>
      <x:c r="B18" s="2" t="s">
        <x:v>48</x:v>
      </x:c>
      <x:c r="C18" s="3">
        <x:v>125</x:v>
      </x:c>
      <x:c r="D18" s="3">
        <x:v>2702</x:v>
      </x:c>
      <x:c r="E18" s="3" t="s">
        <x:v>47</x:v>
      </x:c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41">
        <x:f t="shared" si="0"/>
      </x:c>
      <x:c r="R18" s="44"/>
      <x:c r="S18" s="44"/>
      <x:c r="T18" s="50" t="n">
        <x:f>SUM(F18:S18)</x:f>
        <x:v>0</x:v>
      </x:c>
    </x:row>
    <x:row r="19">
      <x:c r="A19" s="3" t="s">
        <x:v>20</x:v>
      </x:c>
      <x:c r="B19" s="2" t="s">
        <x:v>48</x:v>
      </x:c>
      <x:c r="C19" s="3">
        <x:v>129</x:v>
      </x:c>
      <x:c r="D19" s="3">
        <x:v>2702</x:v>
      </x:c>
      <x:c r="E19" s="3" t="s">
        <x:v>47</x:v>
      </x:c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41">
        <x:f t="shared" si="0"/>
      </x:c>
      <x:c r="R19" s="44"/>
      <x:c r="S19" s="44"/>
      <x:c r="T19" s="50" t="n">
        <x:f>SUM(F19:S19)</x:f>
        <x:v>0</x:v>
      </x:c>
    </x:row>
    <x:row r="20">
      <x:c r="A20" s="3" t="s">
        <x:v>20</x:v>
      </x:c>
      <x:c r="B20" s="2" t="s">
        <x:v>49</x:v>
      </x:c>
      <x:c r="C20" s="3">
        <x:v>15</x:v>
      </x:c>
      <x:c r="D20" s="3">
        <x:v>1650</x:v>
      </x:c>
      <x:c r="E20" s="3" t="s">
        <x:v>47</x:v>
      </x:c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41">
        <x:f t="shared" si="0"/>
      </x:c>
      <x:c r="R20" s="44"/>
      <x:c r="S20" s="44"/>
      <x:c r="T20" s="50" t="n">
        <x:f>SUM(F20:S20)</x:f>
        <x:v>0</x:v>
      </x:c>
    </x:row>
    <x:row r="21">
      <x:c r="A21" s="3" t="s">
        <x:v>20</x:v>
      </x:c>
      <x:c r="B21" s="2" t="s">
        <x:v>49</x:v>
      </x:c>
      <x:c r="C21" s="3">
        <x:v>23</x:v>
      </x:c>
      <x:c r="D21" s="3">
        <x:v>1650</x:v>
      </x:c>
      <x:c r="E21" s="3" t="s">
        <x:v>47</x:v>
      </x:c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41">
        <x:f t="shared" si="0"/>
      </x:c>
      <x:c r="R21" s="44"/>
      <x:c r="S21" s="44"/>
      <x:c r="T21" s="50" t="n">
        <x:f>SUM(F21:S21)</x:f>
        <x:v>0</x:v>
      </x:c>
    </x:row>
    <x:row r="22">
      <x:c r="A22" s="3" t="s">
        <x:v>20</x:v>
      </x:c>
      <x:c r="B22" s="2" t="s">
        <x:v>49</x:v>
      </x:c>
      <x:c r="C22" s="3">
        <x:v>42</x:v>
      </x:c>
      <x:c r="D22" s="3">
        <x:v>1650</x:v>
      </x:c>
      <x:c r="E22" s="3" t="s">
        <x:v>47</x:v>
      </x:c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41">
        <x:f t="shared" si="0"/>
      </x:c>
      <x:c r="R22" s="44"/>
      <x:c r="S22" s="44"/>
      <x:c r="T22" s="50" t="n">
        <x:f>SUM(F22:S22)</x:f>
        <x:v>0</x:v>
      </x:c>
    </x:row>
    <x:row r="23">
      <x:c r="A23" s="3" t="s">
        <x:v>20</x:v>
      </x:c>
      <x:c r="B23" s="2" t="s">
        <x:v>49</x:v>
      </x:c>
      <x:c r="C23" s="3">
        <x:v>44</x:v>
      </x:c>
      <x:c r="D23" s="3">
        <x:v>1650</x:v>
      </x:c>
      <x:c r="E23" s="3" t="s">
        <x:v>47</x:v>
      </x:c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41">
        <x:f t="shared" si="0"/>
      </x:c>
      <x:c r="R23" s="44"/>
      <x:c r="S23" s="44"/>
      <x:c r="T23" s="50" t="n">
        <x:f>SUM(F23:S23)</x:f>
        <x:v>0</x:v>
      </x:c>
    </x:row>
    <x:row r="24">
      <x:c r="A24" s="3" t="s">
        <x:v>20</x:v>
      </x:c>
      <x:c r="B24" s="2" t="s">
        <x:v>49</x:v>
      </x:c>
      <x:c r="C24" s="3">
        <x:v>45</x:v>
      </x:c>
      <x:c r="D24" s="3">
        <x:v>1650</x:v>
      </x:c>
      <x:c r="E24" s="3" t="s">
        <x:v>47</x:v>
      </x:c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41">
        <x:f t="shared" si="0"/>
      </x:c>
      <x:c r="R24" s="44"/>
      <x:c r="S24" s="44"/>
      <x:c r="T24" s="50" t="n">
        <x:f>SUM(F24:S24)</x:f>
        <x:v>0</x:v>
      </x:c>
    </x:row>
    <x:row r="25">
      <x:c r="A25" s="3" t="s">
        <x:v>20</x:v>
      </x:c>
      <x:c r="B25" s="2" t="s">
        <x:v>49</x:v>
      </x:c>
      <x:c r="C25" s="3">
        <x:v>47</x:v>
      </x:c>
      <x:c r="D25" s="3">
        <x:v>1650</x:v>
      </x:c>
      <x:c r="E25" s="3" t="s">
        <x:v>47</x:v>
      </x:c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41">
        <x:f t="shared" si="0"/>
      </x:c>
      <x:c r="R25" s="44"/>
      <x:c r="S25" s="44"/>
      <x:c r="T25" s="50" t="n">
        <x:f>SUM(F25:S25)</x:f>
        <x:v>0</x:v>
      </x:c>
    </x:row>
    <x:row r="26">
      <x:c r="A26" s="3" t="s">
        <x:v>20</x:v>
      </x:c>
      <x:c r="B26" s="2" t="s">
        <x:v>49</x:v>
      </x:c>
      <x:c r="C26" s="3">
        <x:v>48</x:v>
      </x:c>
      <x:c r="D26" s="3">
        <x:v>1650</x:v>
      </x:c>
      <x:c r="E26" s="3" t="s">
        <x:v>47</x:v>
      </x:c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41">
        <x:f t="shared" si="0"/>
      </x:c>
      <x:c r="R26" s="44"/>
      <x:c r="S26" s="44"/>
      <x:c r="T26" s="50" t="n">
        <x:f>SUM(F26:S26)</x:f>
        <x:v>0</x:v>
      </x:c>
    </x:row>
    <x:row r="27">
      <x:c r="A27" s="3" t="s">
        <x:v>20</x:v>
      </x:c>
      <x:c r="B27" s="2" t="s">
        <x:v>50</x:v>
      </x:c>
      <x:c r="C27" s="3">
        <x:v>60</x:v>
      </x:c>
      <x:c r="D27" s="3">
        <x:v>373</x:v>
      </x:c>
      <x:c r="E27" s="3" t="s">
        <x:v>47</x:v>
      </x:c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41">
        <x:f t="shared" si="0"/>
      </x:c>
      <x:c r="R27" s="44"/>
      <x:c r="S27" s="44"/>
      <x:c r="T27" s="50" t="n">
        <x:f>SUM(F27:S27)</x:f>
        <x:v>0</x:v>
      </x:c>
    </x:row>
    <x:row r="28">
      <x:c r="A28" s="3" t="s">
        <x:v>20</x:v>
      </x:c>
      <x:c r="B28" s="2" t="s">
        <x:v>50</x:v>
      </x:c>
      <x:c r="C28" s="3">
        <x:v>152</x:v>
      </x:c>
      <x:c r="D28" s="3">
        <x:v>373</x:v>
      </x:c>
      <x:c r="E28" s="3" t="s">
        <x:v>47</x:v>
      </x:c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41">
        <x:f t="shared" si="0"/>
      </x:c>
      <x:c r="R28" s="44"/>
      <x:c r="S28" s="44"/>
      <x:c r="T28" s="50" t="n">
        <x:f>SUM(F28:S28)</x:f>
        <x:v>0</x:v>
      </x:c>
    </x:row>
    <x:row r="29">
      <x:c r="A29" s="3" t="s">
        <x:v>20</x:v>
      </x:c>
      <x:c r="B29" s="2" t="s">
        <x:v>51</x:v>
      </x:c>
      <x:c r="C29" s="3">
        <x:v>61</x:v>
      </x:c>
      <x:c r="D29" s="3">
        <x:v>249</x:v>
      </x:c>
      <x:c r="E29" s="3" t="s">
        <x:v>47</x:v>
      </x:c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41">
        <x:f t="shared" si="0"/>
      </x:c>
      <x:c r="R29" s="44"/>
      <x:c r="S29" s="44"/>
      <x:c r="T29" s="50" t="n">
        <x:f>SUM(F29:S29)</x:f>
        <x:v>0</x:v>
      </x:c>
    </x:row>
    <x:row r="30">
      <x:c r="A30" s="3" t="s">
        <x:v>20</x:v>
      </x:c>
      <x:c r="B30" s="2" t="s">
        <x:v>52</x:v>
      </x:c>
      <x:c r="C30" s="3">
        <x:v>62</x:v>
      </x:c>
      <x:c r="D30" s="3">
        <x:v>730</x:v>
      </x:c>
      <x:c r="E30" s="3" t="s">
        <x:v>47</x:v>
      </x:c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41">
        <x:f t="shared" si="0"/>
      </x:c>
      <x:c r="R30" s="44"/>
      <x:c r="S30" s="44"/>
      <x:c r="T30" s="50" t="n">
        <x:f>SUM(F30:S30)</x:f>
        <x:v>0</x:v>
      </x:c>
    </x:row>
    <x:row r="31">
      <x:c r="A31" s="3" t="s">
        <x:v>20</x:v>
      </x:c>
      <x:c r="B31" s="2" t="s">
        <x:v>52</x:v>
      </x:c>
      <x:c r="C31" s="3">
        <x:v>63</x:v>
      </x:c>
      <x:c r="D31" s="3">
        <x:v>730</x:v>
      </x:c>
      <x:c r="E31" s="3" t="s">
        <x:v>47</x:v>
      </x:c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41">
        <x:f t="shared" si="0"/>
      </x:c>
      <x:c r="R31" s="44"/>
      <x:c r="S31" s="44"/>
      <x:c r="T31" s="50" t="n">
        <x:f>SUM(F31:S31)</x:f>
        <x:v>0</x:v>
      </x:c>
    </x:row>
    <x:row r="32">
      <x:c r="A32" s="3" t="s">
        <x:v>20</x:v>
      </x:c>
      <x:c r="B32" s="2" t="s">
        <x:v>52</x:v>
      </x:c>
      <x:c r="C32" s="3">
        <x:v>185</x:v>
      </x:c>
      <x:c r="D32" s="3">
        <x:v>730</x:v>
      </x:c>
      <x:c r="E32" s="3" t="s">
        <x:v>47</x:v>
      </x:c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  <x:c r="Q32" s="41">
        <x:f t="shared" si="0"/>
      </x:c>
      <x:c r="R32" s="44"/>
      <x:c r="S32" s="44"/>
      <x:c r="T32" s="50" t="n">
        <x:f>SUM(F32:S32)</x:f>
        <x:v>0</x:v>
      </x:c>
    </x:row>
    <x:row r="33">
      <x:c r="A33" s="3" t="s">
        <x:v>20</x:v>
      </x:c>
      <x:c r="B33" s="2" t="s">
        <x:v>53</x:v>
      </x:c>
      <x:c r="C33" s="3">
        <x:v>71</x:v>
      </x:c>
      <x:c r="D33" s="3">
        <x:v>452</x:v>
      </x:c>
      <x:c r="E33" s="3" t="s">
        <x:v>47</x:v>
      </x:c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  <x:c r="Q33" s="41">
        <x:f t="shared" si="0"/>
      </x:c>
      <x:c r="R33" s="44"/>
      <x:c r="S33" s="44"/>
      <x:c r="T33" s="50" t="n">
        <x:f>SUM(F33:S33)</x:f>
        <x:v>0</x:v>
      </x:c>
    </x:row>
    <x:row r="34">
      <x:c r="A34" s="3" t="s">
        <x:v>20</x:v>
      </x:c>
      <x:c r="B34" s="2" t="s">
        <x:v>53</x:v>
      </x:c>
      <x:c r="C34" s="3">
        <x:v>151</x:v>
      </x:c>
      <x:c r="D34" s="3">
        <x:v>452</x:v>
      </x:c>
      <x:c r="E34" s="3" t="s">
        <x:v>47</x:v>
      </x:c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41">
        <x:f t="shared" si="0"/>
      </x:c>
      <x:c r="R34" s="44"/>
      <x:c r="S34" s="44"/>
      <x:c r="T34" s="50" t="n">
        <x:f>SUM(F34:S34)</x:f>
        <x:v>0</x:v>
      </x:c>
    </x:row>
    <x:row r="35">
      <x:c r="A35" s="3" t="s">
        <x:v>20</x:v>
      </x:c>
      <x:c r="B35" s="2" t="s">
        <x:v>54</x:v>
      </x:c>
      <x:c r="C35" s="3">
        <x:v>50</x:v>
      </x:c>
      <x:c r="D35" s="3">
        <x:v>1470</x:v>
      </x:c>
      <x:c r="E35" s="3" t="s">
        <x:v>47</x:v>
      </x:c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2"/>
      <x:c r="Q35" s="41">
        <x:f t="shared" si="0"/>
      </x:c>
      <x:c r="R35" s="44"/>
      <x:c r="S35" s="44"/>
      <x:c r="T35" s="50" t="n">
        <x:f>SUM(F35:S35)</x:f>
        <x:v>0</x:v>
      </x:c>
    </x:row>
    <x:row r="36">
      <x:c r="A36" s="3" t="s">
        <x:v>20</x:v>
      </x:c>
      <x:c r="B36" s="2" t="s">
        <x:v>54</x:v>
      </x:c>
      <x:c r="C36" s="3">
        <x:v>51</x:v>
      </x:c>
      <x:c r="D36" s="3">
        <x:v>1470</x:v>
      </x:c>
      <x:c r="E36" s="3" t="s">
        <x:v>47</x:v>
      </x:c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2"/>
      <x:c r="Q36" s="41">
        <x:f t="shared" si="0"/>
      </x:c>
      <x:c r="R36" s="44"/>
      <x:c r="S36" s="44"/>
      <x:c r="T36" s="50" t="n">
        <x:f>SUM(F36:S36)</x:f>
        <x:v>0</x:v>
      </x:c>
    </x:row>
    <x:row r="37">
      <x:c r="A37" s="3" t="s">
        <x:v>20</x:v>
      </x:c>
      <x:c r="B37" s="2" t="s">
        <x:v>54</x:v>
      </x:c>
      <x:c r="C37" s="3">
        <x:v>52</x:v>
      </x:c>
      <x:c r="D37" s="3">
        <x:v>1470</x:v>
      </x:c>
      <x:c r="E37" s="3" t="s">
        <x:v>47</x:v>
      </x:c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2"/>
      <x:c r="Q37" s="41">
        <x:f t="shared" ref="Q37:Q68" si="1">SUM(F37:P37)</x:f>
      </x:c>
      <x:c r="R37" s="44"/>
      <x:c r="S37" s="44"/>
      <x:c r="T37" s="50" t="n">
        <x:f>SUM(F37:S37)</x:f>
        <x:v>0</x:v>
      </x:c>
    </x:row>
    <x:row r="38">
      <x:c r="A38" s="3" t="s">
        <x:v>20</x:v>
      </x:c>
      <x:c r="B38" s="2" t="s">
        <x:v>54</x:v>
      </x:c>
      <x:c r="C38" s="3">
        <x:v>126</x:v>
      </x:c>
      <x:c r="D38" s="3">
        <x:v>1470</x:v>
      </x:c>
      <x:c r="E38" s="3" t="s">
        <x:v>47</x:v>
      </x:c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  <x:c r="P38" s="22"/>
      <x:c r="Q38" s="41">
        <x:f t="shared" si="1"/>
      </x:c>
      <x:c r="R38" s="44"/>
      <x:c r="S38" s="44"/>
      <x:c r="T38" s="50" t="n">
        <x:f>SUM(F38:S38)</x:f>
        <x:v>0</x:v>
      </x:c>
    </x:row>
    <x:row r="39">
      <x:c r="A39" s="3" t="s">
        <x:v>20</x:v>
      </x:c>
      <x:c r="B39" s="2" t="s">
        <x:v>54</x:v>
      </x:c>
      <x:c r="C39" s="3">
        <x:v>198</x:v>
      </x:c>
      <x:c r="D39" s="3">
        <x:v>1470</x:v>
      </x:c>
      <x:c r="E39" s="3" t="s">
        <x:v>47</x:v>
      </x:c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  <x:c r="P39" s="22"/>
      <x:c r="Q39" s="41">
        <x:f t="shared" si="1"/>
      </x:c>
      <x:c r="R39" s="44"/>
      <x:c r="S39" s="44"/>
      <x:c r="T39" s="50" t="n">
        <x:f>SUM(F39:S39)</x:f>
        <x:v>0</x:v>
      </x:c>
    </x:row>
    <x:row r="40">
      <x:c r="A40" s="3" t="s">
        <x:v>20</x:v>
      </x:c>
      <x:c r="B40" s="2" t="s">
        <x:v>40</x:v>
      </x:c>
      <x:c r="C40" s="3">
        <x:v>26</x:v>
      </x:c>
      <x:c r="D40" s="3">
        <x:v>2254</x:v>
      </x:c>
      <x:c r="E40" s="3" t="s">
        <x:v>47</x:v>
      </x:c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  <x:c r="P40" s="22"/>
      <x:c r="Q40" s="41">
        <x:f t="shared" si="1"/>
      </x:c>
      <x:c r="R40" s="44"/>
      <x:c r="S40" s="44"/>
      <x:c r="T40" s="50" t="n">
        <x:f>SUM(F40:S40)</x:f>
        <x:v>0</x:v>
      </x:c>
    </x:row>
    <x:row r="41">
      <x:c r="A41" s="3" t="s">
        <x:v>20</x:v>
      </x:c>
      <x:c r="B41" s="2" t="s">
        <x:v>40</x:v>
      </x:c>
      <x:c r="C41" s="3">
        <x:v>28</x:v>
      </x:c>
      <x:c r="D41" s="3">
        <x:v>2254</x:v>
      </x:c>
      <x:c r="E41" s="3" t="s">
        <x:v>47</x:v>
      </x:c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  <x:c r="P41" s="22"/>
      <x:c r="Q41" s="41">
        <x:f t="shared" si="1"/>
      </x:c>
      <x:c r="R41" s="44"/>
      <x:c r="S41" s="44"/>
      <x:c r="T41" s="50" t="n">
        <x:f>SUM(F41:S41)</x:f>
        <x:v>0</x:v>
      </x:c>
    </x:row>
    <x:row r="42">
      <x:c r="A42" s="3" t="s">
        <x:v>20</x:v>
      </x:c>
      <x:c r="B42" s="2" t="s">
        <x:v>40</x:v>
      </x:c>
      <x:c r="C42" s="3">
        <x:v>32</x:v>
      </x:c>
      <x:c r="D42" s="3">
        <x:v>2254</x:v>
      </x:c>
      <x:c r="E42" s="3" t="s">
        <x:v>47</x:v>
      </x:c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  <x:c r="P42" s="22"/>
      <x:c r="Q42" s="41">
        <x:f t="shared" si="1"/>
      </x:c>
      <x:c r="R42" s="44"/>
      <x:c r="S42" s="44"/>
      <x:c r="T42" s="50" t="n">
        <x:f>SUM(F42:S42)</x:f>
        <x:v>0</x:v>
      </x:c>
    </x:row>
    <x:row r="43">
      <x:c r="A43" s="3" t="s">
        <x:v>20</x:v>
      </x:c>
      <x:c r="B43" s="2" t="s">
        <x:v>40</x:v>
      </x:c>
      <x:c r="C43" s="3">
        <x:v>43</x:v>
      </x:c>
      <x:c r="D43" s="3">
        <x:v>2254</x:v>
      </x:c>
      <x:c r="E43" s="3" t="s">
        <x:v>47</x:v>
      </x:c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41">
        <x:f t="shared" si="1"/>
      </x:c>
      <x:c r="R43" s="44"/>
      <x:c r="S43" s="44"/>
      <x:c r="T43" s="50" t="n">
        <x:f>SUM(F43:S43)</x:f>
        <x:v>0</x:v>
      </x:c>
    </x:row>
    <x:row r="44">
      <x:c r="A44" s="3" t="s">
        <x:v>20</x:v>
      </x:c>
      <x:c r="B44" s="2" t="s">
        <x:v>40</x:v>
      </x:c>
      <x:c r="C44" s="3">
        <x:v>46</x:v>
      </x:c>
      <x:c r="D44" s="3">
        <x:v>2254</x:v>
      </x:c>
      <x:c r="E44" s="3" t="s">
        <x:v>47</x:v>
      </x:c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41">
        <x:f t="shared" si="1"/>
      </x:c>
      <x:c r="R44" s="44"/>
      <x:c r="S44" s="44"/>
      <x:c r="T44" s="50" t="n">
        <x:f>SUM(F44:S44)</x:f>
        <x:v>0</x:v>
      </x:c>
    </x:row>
    <x:row r="45">
      <x:c r="A45" s="3" t="s">
        <x:v>20</x:v>
      </x:c>
      <x:c r="B45" s="2" t="s">
        <x:v>40</x:v>
      </x:c>
      <x:c r="C45" s="3">
        <x:v>49</x:v>
      </x:c>
      <x:c r="D45" s="3">
        <x:v>2254</x:v>
      </x:c>
      <x:c r="E45" s="3" t="s">
        <x:v>47</x:v>
      </x:c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41">
        <x:f t="shared" si="1"/>
      </x:c>
      <x:c r="R45" s="44"/>
      <x:c r="S45" s="44"/>
      <x:c r="T45" s="50" t="n">
        <x:f>SUM(F45:S45)</x:f>
        <x:v>0</x:v>
      </x:c>
    </x:row>
    <x:row r="46">
      <x:c r="A46" s="3" t="s">
        <x:v>20</x:v>
      </x:c>
      <x:c r="B46" s="2" t="s">
        <x:v>40</x:v>
      </x:c>
      <x:c r="C46" s="3">
        <x:v>53</x:v>
      </x:c>
      <x:c r="D46" s="3">
        <x:v>2254</x:v>
      </x:c>
      <x:c r="E46" s="3" t="s">
        <x:v>47</x:v>
      </x:c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41">
        <x:f t="shared" si="1"/>
      </x:c>
      <x:c r="R46" s="44"/>
      <x:c r="S46" s="44"/>
      <x:c r="T46" s="50" t="n">
        <x:f>SUM(F46:S46)</x:f>
        <x:v>0</x:v>
      </x:c>
    </x:row>
    <x:row r="47">
      <x:c r="A47" s="3" t="s">
        <x:v>20</x:v>
      </x:c>
      <x:c r="B47" s="2" t="s">
        <x:v>40</x:v>
      </x:c>
      <x:c r="C47" s="3">
        <x:v>58</x:v>
      </x:c>
      <x:c r="D47" s="3">
        <x:v>2254</x:v>
      </x:c>
      <x:c r="E47" s="3" t="s">
        <x:v>47</x:v>
      </x:c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41">
        <x:f t="shared" si="1"/>
      </x:c>
      <x:c r="R47" s="44"/>
      <x:c r="S47" s="44"/>
      <x:c r="T47" s="50" t="n">
        <x:f>SUM(F47:S47)</x:f>
        <x:v>0</x:v>
      </x:c>
    </x:row>
    <x:row r="48">
      <x:c r="A48" s="3" t="s">
        <x:v>20</x:v>
      </x:c>
      <x:c r="B48" s="2" t="s">
        <x:v>55</x:v>
      </x:c>
      <x:c r="C48" s="3">
        <x:v>59</x:v>
      </x:c>
      <x:c r="D48" s="3">
        <x:v>2388</x:v>
      </x:c>
      <x:c r="E48" s="3" t="s">
        <x:v>47</x:v>
      </x:c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41">
        <x:f t="shared" si="1"/>
      </x:c>
      <x:c r="R48" s="44"/>
      <x:c r="S48" s="44"/>
      <x:c r="T48" s="50" t="n">
        <x:f>SUM(F48:S48)</x:f>
        <x:v>0</x:v>
      </x:c>
    </x:row>
    <x:row r="49">
      <x:c r="A49" s="3" t="s">
        <x:v>20</x:v>
      </x:c>
      <x:c r="B49" s="2" t="s">
        <x:v>55</x:v>
      </x:c>
      <x:c r="C49" s="3">
        <x:v>66</x:v>
      </x:c>
      <x:c r="D49" s="3">
        <x:v>2388</x:v>
      </x:c>
      <x:c r="E49" s="3" t="s">
        <x:v>47</x:v>
      </x:c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41">
        <x:f t="shared" si="1"/>
      </x:c>
      <x:c r="R49" s="44"/>
      <x:c r="S49" s="44"/>
      <x:c r="T49" s="50" t="n">
        <x:f>SUM(F49:S49)</x:f>
        <x:v>0</x:v>
      </x:c>
    </x:row>
    <x:row r="50">
      <x:c r="A50" s="3" t="s">
        <x:v>20</x:v>
      </x:c>
      <x:c r="B50" s="2" t="s">
        <x:v>55</x:v>
      </x:c>
      <x:c r="C50" s="3">
        <x:v>70</x:v>
      </x:c>
      <x:c r="D50" s="3">
        <x:v>2388</x:v>
      </x:c>
      <x:c r="E50" s="3" t="s">
        <x:v>47</x:v>
      </x:c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41">
        <x:f t="shared" si="1"/>
      </x:c>
      <x:c r="R50" s="44"/>
      <x:c r="S50" s="44"/>
      <x:c r="T50" s="50" t="n">
        <x:f>SUM(F50:S50)</x:f>
        <x:v>0</x:v>
      </x:c>
    </x:row>
    <x:row r="51">
      <x:c r="A51" s="3" t="s">
        <x:v>20</x:v>
      </x:c>
      <x:c r="B51" s="2" t="s">
        <x:v>55</x:v>
      </x:c>
      <x:c r="C51" s="3">
        <x:v>72</x:v>
      </x:c>
      <x:c r="D51" s="3">
        <x:v>2388</x:v>
      </x:c>
      <x:c r="E51" s="3" t="s">
        <x:v>47</x:v>
      </x:c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2"/>
      <x:c r="Q51" s="41">
        <x:f t="shared" si="1"/>
      </x:c>
      <x:c r="R51" s="44"/>
      <x:c r="S51" s="44"/>
      <x:c r="T51" s="50" t="n">
        <x:f>SUM(F51:S51)</x:f>
        <x:v>0</x:v>
      </x:c>
    </x:row>
    <x:row r="52">
      <x:c r="A52" s="3" t="s">
        <x:v>20</x:v>
      </x:c>
      <x:c r="B52" s="2" t="s">
        <x:v>55</x:v>
      </x:c>
      <x:c r="C52" s="3">
        <x:v>149</x:v>
      </x:c>
      <x:c r="D52" s="3">
        <x:v>2388</x:v>
      </x:c>
      <x:c r="E52" s="3" t="s">
        <x:v>47</x:v>
      </x:c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  <x:c r="P52" s="22"/>
      <x:c r="Q52" s="41">
        <x:f t="shared" si="1"/>
      </x:c>
      <x:c r="R52" s="44"/>
      <x:c r="S52" s="44"/>
      <x:c r="T52" s="50" t="n">
        <x:f>SUM(F52:S52)</x:f>
        <x:v>0</x:v>
      </x:c>
    </x:row>
    <x:row r="53">
      <x:c r="A53" s="3" t="s">
        <x:v>20</x:v>
      </x:c>
      <x:c r="B53" s="2" t="s">
        <x:v>55</x:v>
      </x:c>
      <x:c r="C53" s="3">
        <x:v>150</x:v>
      </x:c>
      <x:c r="D53" s="3">
        <x:v>2388</x:v>
      </x:c>
      <x:c r="E53" s="3" t="s">
        <x:v>47</x:v>
      </x:c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  <x:c r="P53" s="22"/>
      <x:c r="Q53" s="41">
        <x:f t="shared" si="1"/>
      </x:c>
      <x:c r="R53" s="44"/>
      <x:c r="S53" s="44"/>
      <x:c r="T53" s="50" t="n">
        <x:f>SUM(F53:S53)</x:f>
        <x:v>0</x:v>
      </x:c>
    </x:row>
    <x:row r="54">
      <x:c r="A54" s="3" t="s">
        <x:v>20</x:v>
      </x:c>
      <x:c r="B54" s="2" t="s">
        <x:v>55</x:v>
      </x:c>
      <x:c r="C54" s="3">
        <x:v>154</x:v>
      </x:c>
      <x:c r="D54" s="3">
        <x:v>2388</x:v>
      </x:c>
      <x:c r="E54" s="3" t="s">
        <x:v>47</x:v>
      </x:c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41">
        <x:f t="shared" si="1"/>
      </x:c>
      <x:c r="R54" s="44"/>
      <x:c r="S54" s="44"/>
      <x:c r="T54" s="50" t="n">
        <x:f>SUM(F54:S54)</x:f>
        <x:v>0</x:v>
      </x:c>
    </x:row>
    <x:row r="55">
      <x:c r="A55" s="3" t="s">
        <x:v>20</x:v>
      </x:c>
      <x:c r="B55" s="2" t="s">
        <x:v>56</x:v>
      </x:c>
      <x:c r="C55" s="3">
        <x:v>55</x:v>
      </x:c>
      <x:c r="D55" s="3">
        <x:v>1741</x:v>
      </x:c>
      <x:c r="E55" s="3" t="s">
        <x:v>47</x:v>
      </x:c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41">
        <x:f t="shared" si="1"/>
      </x:c>
      <x:c r="R55" s="44"/>
      <x:c r="S55" s="44"/>
      <x:c r="T55" s="50" t="n">
        <x:f>SUM(F55:S55)</x:f>
        <x:v>0</x:v>
      </x:c>
    </x:row>
    <x:row r="56">
      <x:c r="A56" s="3" t="s">
        <x:v>20</x:v>
      </x:c>
      <x:c r="B56" s="2" t="s">
        <x:v>56</x:v>
      </x:c>
      <x:c r="C56" s="3">
        <x:v>56</x:v>
      </x:c>
      <x:c r="D56" s="3">
        <x:v>1741</x:v>
      </x:c>
      <x:c r="E56" s="3" t="s">
        <x:v>47</x:v>
      </x:c>
      <x:c r="F56" s="22"/>
      <x:c r="G56" s="22"/>
      <x:c r="H56" s="22"/>
      <x:c r="I56" s="22"/>
      <x:c r="J56" s="22"/>
      <x:c r="K56" s="22"/>
      <x:c r="L56" s="22"/>
      <x:c r="M56" s="22"/>
      <x:c r="N56" s="22"/>
      <x:c r="O56" s="22"/>
      <x:c r="P56" s="22"/>
      <x:c r="Q56" s="41">
        <x:f t="shared" si="1"/>
      </x:c>
      <x:c r="R56" s="44"/>
      <x:c r="S56" s="44"/>
      <x:c r="T56" s="50" t="n">
        <x:f>SUM(F56:S56)</x:f>
        <x:v>0</x:v>
      </x:c>
    </x:row>
    <x:row r="57">
      <x:c r="A57" s="3" t="s">
        <x:v>20</x:v>
      </x:c>
      <x:c r="B57" s="2" t="s">
        <x:v>56</x:v>
      </x:c>
      <x:c r="C57" s="3">
        <x:v>57</x:v>
      </x:c>
      <x:c r="D57" s="3">
        <x:v>1741</x:v>
      </x:c>
      <x:c r="E57" s="3" t="s">
        <x:v>47</x:v>
      </x:c>
      <x:c r="F57" s="22"/>
      <x:c r="G57" s="22"/>
      <x:c r="H57" s="22"/>
      <x:c r="I57" s="22"/>
      <x:c r="J57" s="22"/>
      <x:c r="K57" s="22"/>
      <x:c r="L57" s="22"/>
      <x:c r="M57" s="22"/>
      <x:c r="N57" s="22"/>
      <x:c r="O57" s="22"/>
      <x:c r="P57" s="22"/>
      <x:c r="Q57" s="41">
        <x:f t="shared" si="1"/>
      </x:c>
      <x:c r="R57" s="44"/>
      <x:c r="S57" s="44"/>
      <x:c r="T57" s="50" t="n">
        <x:f>SUM(F57:S57)</x:f>
        <x:v>0</x:v>
      </x:c>
    </x:row>
    <x:row r="58">
      <x:c r="A58" s="3" t="s">
        <x:v>20</x:v>
      </x:c>
      <x:c r="B58" s="2" t="s">
        <x:v>56</x:v>
      </x:c>
      <x:c r="C58" s="3">
        <x:v>101</x:v>
      </x:c>
      <x:c r="D58" s="3">
        <x:v>1741</x:v>
      </x:c>
      <x:c r="E58" s="3" t="s">
        <x:v>47</x:v>
      </x:c>
      <x:c r="F58" s="22"/>
      <x:c r="G58" s="22"/>
      <x:c r="H58" s="22"/>
      <x:c r="I58" s="22"/>
      <x:c r="J58" s="22"/>
      <x:c r="K58" s="22"/>
      <x:c r="L58" s="22"/>
      <x:c r="M58" s="22"/>
      <x:c r="N58" s="22"/>
      <x:c r="O58" s="22"/>
      <x:c r="P58" s="22"/>
      <x:c r="Q58" s="41">
        <x:f t="shared" si="1"/>
      </x:c>
      <x:c r="R58" s="44"/>
      <x:c r="S58" s="44"/>
      <x:c r="T58" s="50" t="n">
        <x:f>SUM(F58:S58)</x:f>
        <x:v>0</x:v>
      </x:c>
    </x:row>
    <x:row r="59">
      <x:c r="A59" s="3" t="s">
        <x:v>20</x:v>
      </x:c>
      <x:c r="B59" s="2" t="s">
        <x:v>56</x:v>
      </x:c>
      <x:c r="C59" s="3">
        <x:v>106</x:v>
      </x:c>
      <x:c r="D59" s="3">
        <x:v>1741</x:v>
      </x:c>
      <x:c r="E59" s="3" t="s">
        <x:v>47</x:v>
      </x:c>
      <x:c r="F59" s="22"/>
      <x:c r="G59" s="22"/>
      <x:c r="H59" s="22"/>
      <x:c r="I59" s="22"/>
      <x:c r="J59" s="22"/>
      <x:c r="K59" s="22"/>
      <x:c r="L59" s="22"/>
      <x:c r="M59" s="22"/>
      <x:c r="N59" s="22"/>
      <x:c r="O59" s="22"/>
      <x:c r="P59" s="22"/>
      <x:c r="Q59" s="41">
        <x:f t="shared" si="1"/>
      </x:c>
      <x:c r="R59" s="44"/>
      <x:c r="S59" s="44"/>
      <x:c r="T59" s="50" t="n">
        <x:f>SUM(F59:S59)</x:f>
        <x:v>0</x:v>
      </x:c>
    </x:row>
    <x:row r="60">
      <x:c r="A60" s="3" t="s">
        <x:v>20</x:v>
      </x:c>
      <x:c r="B60" s="2" t="s">
        <x:v>56</x:v>
      </x:c>
      <x:c r="C60" s="3">
        <x:v>107</x:v>
      </x:c>
      <x:c r="D60" s="3">
        <x:v>1741</x:v>
      </x:c>
      <x:c r="E60" s="3" t="s">
        <x:v>47</x:v>
      </x:c>
      <x:c r="F60" s="22"/>
      <x:c r="G60" s="22"/>
      <x:c r="H60" s="22"/>
      <x:c r="I60" s="22"/>
      <x:c r="J60" s="22"/>
      <x:c r="K60" s="22"/>
      <x:c r="L60" s="22"/>
      <x:c r="M60" s="22"/>
      <x:c r="N60" s="22"/>
      <x:c r="O60" s="22"/>
      <x:c r="P60" s="22"/>
      <x:c r="Q60" s="41">
        <x:f t="shared" si="1"/>
      </x:c>
      <x:c r="R60" s="44"/>
      <x:c r="S60" s="44"/>
      <x:c r="T60" s="50" t="n">
        <x:f>SUM(F60:S60)</x:f>
        <x:v>0</x:v>
      </x:c>
    </x:row>
    <x:row r="61">
      <x:c r="A61" s="3" t="s">
        <x:v>20</x:v>
      </x:c>
      <x:c r="B61" s="2" t="s">
        <x:v>56</x:v>
      </x:c>
      <x:c r="C61" s="3">
        <x:v>182</x:v>
      </x:c>
      <x:c r="D61" s="3">
        <x:v>1741</x:v>
      </x:c>
      <x:c r="E61" s="3" t="s">
        <x:v>47</x:v>
      </x:c>
      <x:c r="F61" s="22"/>
      <x:c r="G61" s="22"/>
      <x:c r="H61" s="22"/>
      <x:c r="I61" s="22"/>
      <x:c r="J61" s="22"/>
      <x:c r="K61" s="22"/>
      <x:c r="L61" s="22"/>
      <x:c r="M61" s="22"/>
      <x:c r="N61" s="22"/>
      <x:c r="O61" s="22"/>
      <x:c r="P61" s="22"/>
      <x:c r="Q61" s="41">
        <x:f t="shared" si="1"/>
      </x:c>
      <x:c r="R61" s="44"/>
      <x:c r="S61" s="44"/>
      <x:c r="T61" s="50" t="n">
        <x:f>SUM(F61:S61)</x:f>
        <x:v>0</x:v>
      </x:c>
    </x:row>
    <x:row r="62">
      <x:c r="A62" s="3" t="s">
        <x:v>20</x:v>
      </x:c>
      <x:c r="B62" s="2" t="s">
        <x:v>57</x:v>
      </x:c>
      <x:c r="C62" s="3">
        <x:v>64</x:v>
      </x:c>
      <x:c r="D62" s="3">
        <x:v>3057</x:v>
      </x:c>
      <x:c r="E62" s="3" t="s">
        <x:v>47</x:v>
      </x:c>
      <x:c r="F62" s="22"/>
      <x:c r="G62" s="22"/>
      <x:c r="H62" s="22"/>
      <x:c r="I62" s="22"/>
      <x:c r="J62" s="22"/>
      <x:c r="K62" s="22"/>
      <x:c r="L62" s="22"/>
      <x:c r="M62" s="22"/>
      <x:c r="N62" s="22"/>
      <x:c r="O62" s="22"/>
      <x:c r="P62" s="22"/>
      <x:c r="Q62" s="41">
        <x:f t="shared" si="1"/>
      </x:c>
      <x:c r="R62" s="44"/>
      <x:c r="S62" s="44"/>
      <x:c r="T62" s="50" t="n">
        <x:f>SUM(F62:S62)</x:f>
        <x:v>0</x:v>
      </x:c>
    </x:row>
    <x:row r="63">
      <x:c r="A63" s="3" t="s">
        <x:v>20</x:v>
      </x:c>
      <x:c r="B63" s="2" t="s">
        <x:v>57</x:v>
      </x:c>
      <x:c r="C63" s="3">
        <x:v>69</x:v>
      </x:c>
      <x:c r="D63" s="3">
        <x:v>3057</x:v>
      </x:c>
      <x:c r="E63" s="3" t="s">
        <x:v>47</x:v>
      </x:c>
      <x:c r="F63" s="22"/>
      <x:c r="G63" s="22"/>
      <x:c r="H63" s="22"/>
      <x:c r="I63" s="22"/>
      <x:c r="J63" s="22"/>
      <x:c r="K63" s="22"/>
      <x:c r="L63" s="22"/>
      <x:c r="M63" s="22"/>
      <x:c r="N63" s="22"/>
      <x:c r="O63" s="22"/>
      <x:c r="P63" s="22"/>
      <x:c r="Q63" s="41">
        <x:f t="shared" si="1"/>
      </x:c>
      <x:c r="R63" s="44"/>
      <x:c r="S63" s="44"/>
      <x:c r="T63" s="50" t="n">
        <x:f>SUM(F63:S63)</x:f>
        <x:v>0</x:v>
      </x:c>
    </x:row>
    <x:row r="64">
      <x:c r="A64" s="3" t="s">
        <x:v>20</x:v>
      </x:c>
      <x:c r="B64" s="2" t="s">
        <x:v>57</x:v>
      </x:c>
      <x:c r="C64" s="3">
        <x:v>77</x:v>
      </x:c>
      <x:c r="D64" s="3">
        <x:v>3057</x:v>
      </x:c>
      <x:c r="E64" s="3" t="s">
        <x:v>47</x:v>
      </x:c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41">
        <x:f t="shared" si="1"/>
      </x:c>
      <x:c r="R64" s="44"/>
      <x:c r="S64" s="44"/>
      <x:c r="T64" s="50" t="n">
        <x:f>SUM(F64:S64)</x:f>
        <x:v>0</x:v>
      </x:c>
    </x:row>
    <x:row r="65">
      <x:c r="A65" s="3" t="s">
        <x:v>20</x:v>
      </x:c>
      <x:c r="B65" s="2" t="s">
        <x:v>57</x:v>
      </x:c>
      <x:c r="C65" s="3">
        <x:v>105</x:v>
      </x:c>
      <x:c r="D65" s="3">
        <x:v>3057</x:v>
      </x:c>
      <x:c r="E65" s="3" t="s">
        <x:v>47</x:v>
      </x:c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2"/>
      <x:c r="Q65" s="41">
        <x:f t="shared" si="1"/>
      </x:c>
      <x:c r="R65" s="44"/>
      <x:c r="S65" s="44"/>
      <x:c r="T65" s="50" t="n">
        <x:f>SUM(F65:S65)</x:f>
        <x:v>0</x:v>
      </x:c>
    </x:row>
    <x:row r="66">
      <x:c r="A66" s="3" t="s">
        <x:v>20</x:v>
      </x:c>
      <x:c r="B66" s="2" t="s">
        <x:v>57</x:v>
      </x:c>
      <x:c r="C66" s="3">
        <x:v>109</x:v>
      </x:c>
      <x:c r="D66" s="3">
        <x:v>3057</x:v>
      </x:c>
      <x:c r="E66" s="3" t="s">
        <x:v>47</x:v>
      </x:c>
      <x:c r="F66" s="22"/>
      <x:c r="G66" s="22"/>
      <x:c r="H66" s="22"/>
      <x:c r="I66" s="22"/>
      <x:c r="J66" s="22"/>
      <x:c r="K66" s="22"/>
      <x:c r="L66" s="22"/>
      <x:c r="M66" s="22"/>
      <x:c r="N66" s="22"/>
      <x:c r="O66" s="22"/>
      <x:c r="P66" s="22"/>
      <x:c r="Q66" s="41">
        <x:f t="shared" si="1"/>
      </x:c>
      <x:c r="R66" s="44"/>
      <x:c r="S66" s="44"/>
      <x:c r="T66" s="50" t="n">
        <x:f>SUM(F66:S66)</x:f>
        <x:v>0</x:v>
      </x:c>
    </x:row>
    <x:row r="67">
      <x:c r="A67" s="3" t="s">
        <x:v>20</x:v>
      </x:c>
      <x:c r="B67" s="2" t="s">
        <x:v>57</x:v>
      </x:c>
      <x:c r="C67" s="3">
        <x:v>127</x:v>
      </x:c>
      <x:c r="D67" s="3">
        <x:v>3057</x:v>
      </x:c>
      <x:c r="E67" s="3" t="s">
        <x:v>47</x:v>
      </x:c>
      <x:c r="F67" s="22"/>
      <x:c r="G67" s="22"/>
      <x:c r="H67" s="22"/>
      <x:c r="I67" s="22"/>
      <x:c r="J67" s="22"/>
      <x:c r="K67" s="22"/>
      <x:c r="L67" s="22"/>
      <x:c r="M67" s="22"/>
      <x:c r="N67" s="22"/>
      <x:c r="O67" s="22"/>
      <x:c r="P67" s="22"/>
      <x:c r="Q67" s="41">
        <x:f t="shared" si="1"/>
      </x:c>
      <x:c r="R67" s="44"/>
      <x:c r="S67" s="44"/>
      <x:c r="T67" s="50" t="n">
        <x:f>SUM(F67:S67)</x:f>
        <x:v>0</x:v>
      </x:c>
    </x:row>
    <x:row r="68">
      <x:c r="A68" s="3" t="s">
        <x:v>20</x:v>
      </x:c>
      <x:c r="B68" s="2" t="s">
        <x:v>57</x:v>
      </x:c>
      <x:c r="C68" s="3">
        <x:v>128</x:v>
      </x:c>
      <x:c r="D68" s="3">
        <x:v>3057</x:v>
      </x:c>
      <x:c r="E68" s="3" t="s">
        <x:v>47</x:v>
      </x:c>
      <x:c r="F68" s="22"/>
      <x:c r="G68" s="22"/>
      <x:c r="H68" s="22"/>
      <x:c r="I68" s="22"/>
      <x:c r="J68" s="22"/>
      <x:c r="K68" s="22"/>
      <x:c r="L68" s="22"/>
      <x:c r="M68" s="22"/>
      <x:c r="N68" s="22"/>
      <x:c r="O68" s="22"/>
      <x:c r="P68" s="22"/>
      <x:c r="Q68" s="41">
        <x:f t="shared" si="1"/>
      </x:c>
      <x:c r="R68" s="44"/>
      <x:c r="S68" s="44"/>
      <x:c r="T68" s="50" t="n">
        <x:f>SUM(F68:S68)</x:f>
        <x:v>0</x:v>
      </x:c>
    </x:row>
    <x:row r="69">
      <x:c r="A69" s="3" t="s">
        <x:v>20</x:v>
      </x:c>
      <x:c r="B69" s="2" t="s">
        <x:v>57</x:v>
      </x:c>
      <x:c r="C69" s="3">
        <x:v>153</x:v>
      </x:c>
      <x:c r="D69" s="3">
        <x:v>3057</x:v>
      </x:c>
      <x:c r="E69" s="3" t="s">
        <x:v>47</x:v>
      </x:c>
      <x:c r="F69" s="22"/>
      <x:c r="G69" s="22"/>
      <x:c r="H69" s="22"/>
      <x:c r="I69" s="22"/>
      <x:c r="J69" s="22"/>
      <x:c r="K69" s="22"/>
      <x:c r="L69" s="22"/>
      <x:c r="M69" s="22"/>
      <x:c r="N69" s="22"/>
      <x:c r="O69" s="22"/>
      <x:c r="P69" s="22"/>
      <x:c r="Q69" s="41">
        <x:f t="shared" ref="Q69:Q100" si="2">SUM(F69:P69)</x:f>
      </x:c>
      <x:c r="R69" s="44"/>
      <x:c r="S69" s="44"/>
      <x:c r="T69" s="50" t="n">
        <x:f>SUM(F69:S69)</x:f>
        <x:v>0</x:v>
      </x:c>
    </x:row>
    <x:row r="70">
      <x:c r="A70" s="3" t="s">
        <x:v>20</x:v>
      </x:c>
      <x:c r="B70" s="2" t="s">
        <x:v>57</x:v>
      </x:c>
      <x:c r="C70" s="3">
        <x:v>172</x:v>
      </x:c>
      <x:c r="D70" s="3">
        <x:v>3057</x:v>
      </x:c>
      <x:c r="E70" s="3" t="s">
        <x:v>47</x:v>
      </x:c>
      <x:c r="F70" s="22"/>
      <x:c r="G70" s="22"/>
      <x:c r="H70" s="22"/>
      <x:c r="I70" s="22"/>
      <x:c r="J70" s="22"/>
      <x:c r="K70" s="22"/>
      <x:c r="L70" s="22"/>
      <x:c r="M70" s="22"/>
      <x:c r="N70" s="22"/>
      <x:c r="O70" s="22"/>
      <x:c r="P70" s="22"/>
      <x:c r="Q70" s="41">
        <x:f t="shared" si="2"/>
      </x:c>
      <x:c r="R70" s="44"/>
      <x:c r="S70" s="44"/>
      <x:c r="T70" s="50" t="n">
        <x:f>SUM(F70:S70)</x:f>
        <x:v>0</x:v>
      </x:c>
    </x:row>
    <x:row r="71">
      <x:c r="A71" s="3" t="s">
        <x:v>20</x:v>
      </x:c>
      <x:c r="B71" s="2" t="s">
        <x:v>57</x:v>
      </x:c>
      <x:c r="C71" s="3">
        <x:v>174</x:v>
      </x:c>
      <x:c r="D71" s="3">
        <x:v>3057</x:v>
      </x:c>
      <x:c r="E71" s="3" t="s">
        <x:v>47</x:v>
      </x:c>
      <x:c r="F71" s="22"/>
      <x:c r="G71" s="22"/>
      <x:c r="H71" s="22"/>
      <x:c r="I71" s="22"/>
      <x:c r="J71" s="22"/>
      <x:c r="K71" s="22"/>
      <x:c r="L71" s="22"/>
      <x:c r="M71" s="22"/>
      <x:c r="N71" s="22"/>
      <x:c r="O71" s="22"/>
      <x:c r="P71" s="22"/>
      <x:c r="Q71" s="41">
        <x:f t="shared" si="2"/>
      </x:c>
      <x:c r="R71" s="44"/>
      <x:c r="S71" s="44"/>
      <x:c r="T71" s="50" t="n">
        <x:f>SUM(F71:S71)</x:f>
        <x:v>0</x:v>
      </x:c>
    </x:row>
    <x:row r="72">
      <x:c r="A72" s="3" t="s">
        <x:v>20</x:v>
      </x:c>
      <x:c r="B72" s="2" t="s">
        <x:v>57</x:v>
      </x:c>
      <x:c r="C72" s="3">
        <x:v>179</x:v>
      </x:c>
      <x:c r="D72" s="3">
        <x:v>3057</x:v>
      </x:c>
      <x:c r="E72" s="3" t="s">
        <x:v>47</x:v>
      </x:c>
      <x:c r="F72" s="22"/>
      <x:c r="G72" s="22"/>
      <x:c r="H72" s="22"/>
      <x:c r="I72" s="22"/>
      <x:c r="J72" s="22"/>
      <x:c r="K72" s="22"/>
      <x:c r="L72" s="22"/>
      <x:c r="M72" s="22"/>
      <x:c r="N72" s="22"/>
      <x:c r="O72" s="22"/>
      <x:c r="P72" s="22"/>
      <x:c r="Q72" s="41">
        <x:f t="shared" si="2"/>
      </x:c>
      <x:c r="R72" s="44"/>
      <x:c r="S72" s="44"/>
      <x:c r="T72" s="50" t="n">
        <x:f>SUM(F72:S72)</x:f>
        <x:v>0</x:v>
      </x:c>
    </x:row>
    <x:row r="73">
      <x:c r="A73" s="3" t="s">
        <x:v>20</x:v>
      </x:c>
      <x:c r="B73" s="2" t="s">
        <x:v>57</x:v>
      </x:c>
      <x:c r="C73" s="3">
        <x:v>208</x:v>
      </x:c>
      <x:c r="D73" s="3">
        <x:v>3057</x:v>
      </x:c>
      <x:c r="E73" s="3" t="s">
        <x:v>47</x:v>
      </x:c>
      <x:c r="F73" s="22"/>
      <x:c r="G73" s="22"/>
      <x:c r="H73" s="22"/>
      <x:c r="I73" s="22"/>
      <x:c r="J73" s="22"/>
      <x:c r="K73" s="22"/>
      <x:c r="L73" s="22"/>
      <x:c r="M73" s="22"/>
      <x:c r="N73" s="22"/>
      <x:c r="O73" s="22"/>
      <x:c r="P73" s="22"/>
      <x:c r="Q73" s="41">
        <x:f t="shared" si="2"/>
      </x:c>
      <x:c r="R73" s="44"/>
      <x:c r="S73" s="44"/>
      <x:c r="T73" s="50" t="n">
        <x:f>SUM(F73:S73)</x:f>
        <x:v>0</x:v>
      </x:c>
    </x:row>
    <x:row r="74">
      <x:c r="A74" s="3" t="s">
        <x:v>20</x:v>
      </x:c>
      <x:c r="B74" s="2" t="s">
        <x:v>57</x:v>
      </x:c>
      <x:c r="C74" s="3">
        <x:v>209</x:v>
      </x:c>
      <x:c r="D74" s="3">
        <x:v>3057</x:v>
      </x:c>
      <x:c r="E74" s="3" t="s">
        <x:v>47</x:v>
      </x:c>
      <x:c r="F74" s="22"/>
      <x:c r="G74" s="22"/>
      <x:c r="H74" s="22"/>
      <x:c r="I74" s="22"/>
      <x:c r="J74" s="22"/>
      <x:c r="K74" s="22"/>
      <x:c r="L74" s="22"/>
      <x:c r="M74" s="22"/>
      <x:c r="N74" s="22"/>
      <x:c r="O74" s="22"/>
      <x:c r="P74" s="22"/>
      <x:c r="Q74" s="41">
        <x:f t="shared" si="2"/>
      </x:c>
      <x:c r="R74" s="44"/>
      <x:c r="S74" s="44"/>
      <x:c r="T74" s="50" t="n">
        <x:f>SUM(F74:S74)</x:f>
        <x:v>0</x:v>
      </x:c>
    </x:row>
    <x:row r="75">
      <x:c r="A75" s="3" t="s">
        <x:v>20</x:v>
      </x:c>
      <x:c r="B75" s="2" t="s">
        <x:v>58</x:v>
      </x:c>
      <x:c r="C75" s="3">
        <x:v>34</x:v>
      </x:c>
      <x:c r="D75" s="3">
        <x:v>4470</x:v>
      </x:c>
      <x:c r="E75" s="3" t="s">
        <x:v>47</x:v>
      </x:c>
      <x:c r="F75" s="22"/>
      <x:c r="G75" s="22"/>
      <x:c r="H75" s="22"/>
      <x:c r="I75" s="22"/>
      <x:c r="J75" s="22"/>
      <x:c r="K75" s="22"/>
      <x:c r="L75" s="22"/>
      <x:c r="M75" s="22"/>
      <x:c r="N75" s="22"/>
      <x:c r="O75" s="22"/>
      <x:c r="P75" s="22"/>
      <x:c r="Q75" s="41">
        <x:f t="shared" si="2"/>
      </x:c>
      <x:c r="R75" s="44"/>
      <x:c r="S75" s="44"/>
      <x:c r="T75" s="50" t="n">
        <x:f>SUM(F75:S75)</x:f>
        <x:v>0</x:v>
      </x:c>
    </x:row>
    <x:row r="76">
      <x:c r="A76" s="3" t="s">
        <x:v>20</x:v>
      </x:c>
      <x:c r="B76" s="2" t="s">
        <x:v>58</x:v>
      </x:c>
      <x:c r="C76" s="3">
        <x:v>35</x:v>
      </x:c>
      <x:c r="D76" s="3">
        <x:v>4470</x:v>
      </x:c>
      <x:c r="E76" s="3" t="s">
        <x:v>47</x:v>
      </x:c>
      <x:c r="F76" s="22"/>
      <x:c r="G76" s="22"/>
      <x:c r="H76" s="22"/>
      <x:c r="I76" s="22"/>
      <x:c r="J76" s="22"/>
      <x:c r="K76" s="22"/>
      <x:c r="L76" s="22"/>
      <x:c r="M76" s="22"/>
      <x:c r="N76" s="22"/>
      <x:c r="O76" s="22"/>
      <x:c r="P76" s="22"/>
      <x:c r="Q76" s="41">
        <x:f t="shared" si="2"/>
      </x:c>
      <x:c r="R76" s="44"/>
      <x:c r="S76" s="44"/>
      <x:c r="T76" s="50" t="n">
        <x:f>SUM(F76:S76)</x:f>
        <x:v>0</x:v>
      </x:c>
    </x:row>
    <x:row r="77">
      <x:c r="A77" s="3" t="s">
        <x:v>20</x:v>
      </x:c>
      <x:c r="B77" s="2" t="s">
        <x:v>58</x:v>
      </x:c>
      <x:c r="C77" s="3">
        <x:v>36</x:v>
      </x:c>
      <x:c r="D77" s="3">
        <x:v>4470</x:v>
      </x:c>
      <x:c r="E77" s="3" t="s">
        <x:v>47</x:v>
      </x:c>
      <x:c r="F77" s="22"/>
      <x:c r="G77" s="22"/>
      <x:c r="H77" s="22"/>
      <x:c r="I77" s="22"/>
      <x:c r="J77" s="22"/>
      <x:c r="K77" s="22"/>
      <x:c r="L77" s="22"/>
      <x:c r="M77" s="22"/>
      <x:c r="N77" s="22"/>
      <x:c r="O77" s="22"/>
      <x:c r="P77" s="22"/>
      <x:c r="Q77" s="41">
        <x:f t="shared" si="2"/>
      </x:c>
      <x:c r="R77" s="44"/>
      <x:c r="S77" s="44"/>
      <x:c r="T77" s="50" t="n">
        <x:f>SUM(F77:S77)</x:f>
        <x:v>0</x:v>
      </x:c>
    </x:row>
    <x:row r="78">
      <x:c r="A78" s="3" t="s">
        <x:v>20</x:v>
      </x:c>
      <x:c r="B78" s="2" t="s">
        <x:v>58</x:v>
      </x:c>
      <x:c r="C78" s="3">
        <x:v>37</x:v>
      </x:c>
      <x:c r="D78" s="3">
        <x:v>4470</x:v>
      </x:c>
      <x:c r="E78" s="3" t="s">
        <x:v>47</x:v>
      </x:c>
      <x:c r="F78" s="22"/>
      <x:c r="G78" s="22"/>
      <x:c r="H78" s="22"/>
      <x:c r="I78" s="22"/>
      <x:c r="J78" s="22"/>
      <x:c r="K78" s="22"/>
      <x:c r="L78" s="22"/>
      <x:c r="M78" s="22"/>
      <x:c r="N78" s="22"/>
      <x:c r="O78" s="22"/>
      <x:c r="P78" s="22"/>
      <x:c r="Q78" s="41">
        <x:f t="shared" si="2"/>
      </x:c>
      <x:c r="R78" s="44"/>
      <x:c r="S78" s="44"/>
      <x:c r="T78" s="50" t="n">
        <x:f>SUM(F78:S78)</x:f>
        <x:v>0</x:v>
      </x:c>
    </x:row>
    <x:row r="79">
      <x:c r="A79" s="3" t="s">
        <x:v>20</x:v>
      </x:c>
      <x:c r="B79" s="2" t="s">
        <x:v>58</x:v>
      </x:c>
      <x:c r="C79" s="3">
        <x:v>38</x:v>
      </x:c>
      <x:c r="D79" s="3">
        <x:v>4470</x:v>
      </x:c>
      <x:c r="E79" s="3" t="s">
        <x:v>47</x:v>
      </x:c>
      <x:c r="F79" s="22"/>
      <x:c r="G79" s="22"/>
      <x:c r="H79" s="22"/>
      <x:c r="I79" s="22"/>
      <x:c r="J79" s="22"/>
      <x:c r="K79" s="22"/>
      <x:c r="L79" s="22"/>
      <x:c r="M79" s="22"/>
      <x:c r="N79" s="22"/>
      <x:c r="O79" s="22"/>
      <x:c r="P79" s="22"/>
      <x:c r="Q79" s="41">
        <x:f t="shared" si="2"/>
      </x:c>
      <x:c r="R79" s="44"/>
      <x:c r="S79" s="44"/>
      <x:c r="T79" s="50" t="n">
        <x:f>SUM(F79:S79)</x:f>
        <x:v>0</x:v>
      </x:c>
    </x:row>
    <x:row r="80">
      <x:c r="A80" s="3" t="s">
        <x:v>20</x:v>
      </x:c>
      <x:c r="B80" s="2" t="s">
        <x:v>58</x:v>
      </x:c>
      <x:c r="C80" s="3">
        <x:v>39</x:v>
      </x:c>
      <x:c r="D80" s="3">
        <x:v>4470</x:v>
      </x:c>
      <x:c r="E80" s="3" t="s">
        <x:v>47</x:v>
      </x:c>
      <x:c r="F80" s="22"/>
      <x:c r="G80" s="22"/>
      <x:c r="H80" s="22"/>
      <x:c r="I80" s="22"/>
      <x:c r="J80" s="22"/>
      <x:c r="K80" s="22"/>
      <x:c r="L80" s="22"/>
      <x:c r="M80" s="22"/>
      <x:c r="N80" s="22"/>
      <x:c r="O80" s="22"/>
      <x:c r="P80" s="22"/>
      <x:c r="Q80" s="41">
        <x:f t="shared" si="2"/>
      </x:c>
      <x:c r="R80" s="44"/>
      <x:c r="S80" s="44"/>
      <x:c r="T80" s="50" t="n">
        <x:f>SUM(F80:S80)</x:f>
        <x:v>0</x:v>
      </x:c>
    </x:row>
    <x:row r="81">
      <x:c r="A81" s="3" t="s">
        <x:v>20</x:v>
      </x:c>
      <x:c r="B81" s="2" t="s">
        <x:v>58</x:v>
      </x:c>
      <x:c r="C81" s="3">
        <x:v>54</x:v>
      </x:c>
      <x:c r="D81" s="3">
        <x:v>4470</x:v>
      </x:c>
      <x:c r="E81" s="3" t="s">
        <x:v>47</x:v>
      </x:c>
      <x:c r="F81" s="22"/>
      <x:c r="G81" s="22"/>
      <x:c r="H81" s="22"/>
      <x:c r="I81" s="22"/>
      <x:c r="J81" s="22"/>
      <x:c r="K81" s="22"/>
      <x:c r="L81" s="22"/>
      <x:c r="M81" s="22"/>
      <x:c r="N81" s="22"/>
      <x:c r="O81" s="22"/>
      <x:c r="P81" s="22"/>
      <x:c r="Q81" s="41">
        <x:f t="shared" si="2"/>
      </x:c>
      <x:c r="R81" s="44"/>
      <x:c r="S81" s="44"/>
      <x:c r="T81" s="50" t="n">
        <x:f>SUM(F81:S81)</x:f>
        <x:v>0</x:v>
      </x:c>
    </x:row>
    <x:row r="82">
      <x:c r="A82" s="3" t="s">
        <x:v>20</x:v>
      </x:c>
      <x:c r="B82" s="2" t="s">
        <x:v>58</x:v>
      </x:c>
      <x:c r="C82" s="3">
        <x:v>170</x:v>
      </x:c>
      <x:c r="D82" s="3">
        <x:v>4470</x:v>
      </x:c>
      <x:c r="E82" s="3" t="s">
        <x:v>47</x:v>
      </x:c>
      <x:c r="F82" s="22"/>
      <x:c r="G82" s="22"/>
      <x:c r="H82" s="22"/>
      <x:c r="I82" s="22"/>
      <x:c r="J82" s="22"/>
      <x:c r="K82" s="22"/>
      <x:c r="L82" s="22"/>
      <x:c r="M82" s="22"/>
      <x:c r="N82" s="22"/>
      <x:c r="O82" s="22"/>
      <x:c r="P82" s="22"/>
      <x:c r="Q82" s="41">
        <x:f t="shared" si="2"/>
      </x:c>
      <x:c r="R82" s="44"/>
      <x:c r="S82" s="44"/>
      <x:c r="T82" s="50" t="n">
        <x:f>SUM(F82:S82)</x:f>
        <x:v>0</x:v>
      </x:c>
    </x:row>
    <x:row r="83">
      <x:c r="A83" s="3" t="s">
        <x:v>20</x:v>
      </x:c>
      <x:c r="B83" s="2" t="s">
        <x:v>58</x:v>
      </x:c>
      <x:c r="C83" s="3">
        <x:v>176</x:v>
      </x:c>
      <x:c r="D83" s="3">
        <x:v>4470</x:v>
      </x:c>
      <x:c r="E83" s="3" t="s">
        <x:v>47</x:v>
      </x:c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41">
        <x:f t="shared" si="2"/>
      </x:c>
      <x:c r="R83" s="44"/>
      <x:c r="S83" s="44"/>
      <x:c r="T83" s="50" t="n">
        <x:f>SUM(F83:S83)</x:f>
        <x:v>0</x:v>
      </x:c>
    </x:row>
    <x:row r="84">
      <x:c r="A84" s="3" t="s">
        <x:v>20</x:v>
      </x:c>
      <x:c r="B84" s="2" t="s">
        <x:v>58</x:v>
      </x:c>
      <x:c r="C84" s="3">
        <x:v>191</x:v>
      </x:c>
      <x:c r="D84" s="3">
        <x:v>4470</x:v>
      </x:c>
      <x:c r="E84" s="3" t="s">
        <x:v>47</x:v>
      </x:c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41">
        <x:f t="shared" si="2"/>
      </x:c>
      <x:c r="R84" s="44"/>
      <x:c r="S84" s="44"/>
      <x:c r="T84" s="50" t="n">
        <x:f>SUM(F84:S84)</x:f>
        <x:v>0</x:v>
      </x:c>
    </x:row>
    <x:row r="85">
      <x:c r="A85" s="3" t="s">
        <x:v>20</x:v>
      </x:c>
      <x:c r="B85" s="2" t="s">
        <x:v>58</x:v>
      </x:c>
      <x:c r="C85" s="3">
        <x:v>196</x:v>
      </x:c>
      <x:c r="D85" s="3">
        <x:v>4470</x:v>
      </x:c>
      <x:c r="E85" s="3" t="s">
        <x:v>47</x:v>
      </x:c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41">
        <x:f t="shared" si="2"/>
      </x:c>
      <x:c r="R85" s="44"/>
      <x:c r="S85" s="44"/>
      <x:c r="T85" s="50" t="n">
        <x:f>SUM(F85:S85)</x:f>
        <x:v>0</x:v>
      </x:c>
    </x:row>
    <x:row r="86">
      <x:c r="A86" s="3" t="s">
        <x:v>20</x:v>
      </x:c>
      <x:c r="B86" s="2" t="s">
        <x:v>58</x:v>
      </x:c>
      <x:c r="C86" s="3">
        <x:v>206</x:v>
      </x:c>
      <x:c r="D86" s="3">
        <x:v>4470</x:v>
      </x:c>
      <x:c r="E86" s="3" t="s">
        <x:v>47</x:v>
      </x:c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41">
        <x:f t="shared" si="2"/>
      </x:c>
      <x:c r="R86" s="44"/>
      <x:c r="S86" s="44"/>
      <x:c r="T86" s="50" t="n">
        <x:f>SUM(F86:S86)</x:f>
        <x:v>0</x:v>
      </x:c>
    </x:row>
    <x:row r="87">
      <x:c r="A87" s="3" t="s">
        <x:v>20</x:v>
      </x:c>
      <x:c r="B87" s="2" t="s">
        <x:v>58</x:v>
      </x:c>
      <x:c r="C87" s="3">
        <x:v>207</x:v>
      </x:c>
      <x:c r="D87" s="3">
        <x:v>4470</x:v>
      </x:c>
      <x:c r="E87" s="3" t="s">
        <x:v>47</x:v>
      </x:c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41">
        <x:f t="shared" si="2"/>
      </x:c>
      <x:c r="R87" s="44"/>
      <x:c r="S87" s="44"/>
      <x:c r="T87" s="50" t="n">
        <x:f>SUM(F87:S87)</x:f>
        <x:v>0</x:v>
      </x:c>
    </x:row>
    <x:row r="88">
      <x:c r="A88" s="3" t="s">
        <x:v>20</x:v>
      </x:c>
      <x:c r="B88" s="2" t="s">
        <x:v>58</x:v>
      </x:c>
      <x:c r="C88" s="3">
        <x:v>215</x:v>
      </x:c>
      <x:c r="D88" s="3">
        <x:v>4470</x:v>
      </x:c>
      <x:c r="E88" s="3" t="s">
        <x:v>47</x:v>
      </x:c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41">
        <x:f t="shared" si="2"/>
      </x:c>
      <x:c r="R88" s="44"/>
      <x:c r="S88" s="44"/>
      <x:c r="T88" s="50" t="n">
        <x:f>SUM(F88:S88)</x:f>
        <x:v>0</x:v>
      </x:c>
    </x:row>
    <x:row r="89">
      <x:c r="A89" s="3" t="s">
        <x:v>20</x:v>
      </x:c>
      <x:c r="B89" s="2" t="s">
        <x:v>59</x:v>
      </x:c>
      <x:c r="C89" s="3">
        <x:v>67</x:v>
      </x:c>
      <x:c r="D89" s="3">
        <x:v>1839</x:v>
      </x:c>
      <x:c r="E89" s="3" t="s">
        <x:v>47</x:v>
      </x:c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41">
        <x:f t="shared" si="2"/>
      </x:c>
      <x:c r="R89" s="44"/>
      <x:c r="S89" s="44"/>
      <x:c r="T89" s="50" t="n">
        <x:f>SUM(F89:S89)</x:f>
        <x:v>0</x:v>
      </x:c>
    </x:row>
    <x:row r="90">
      <x:c r="A90" s="3" t="s">
        <x:v>20</x:v>
      </x:c>
      <x:c r="B90" s="2" t="s">
        <x:v>59</x:v>
      </x:c>
      <x:c r="C90" s="3">
        <x:v>73</x:v>
      </x:c>
      <x:c r="D90" s="3">
        <x:v>1839</x:v>
      </x:c>
      <x:c r="E90" s="3" t="s">
        <x:v>47</x:v>
      </x:c>
      <x:c r="F90" s="22"/>
      <x:c r="G90" s="22"/>
      <x:c r="H90" s="22"/>
      <x:c r="I90" s="22"/>
      <x:c r="J90" s="22"/>
      <x:c r="K90" s="22"/>
      <x:c r="L90" s="22"/>
      <x:c r="M90" s="22"/>
      <x:c r="N90" s="22"/>
      <x:c r="O90" s="22"/>
      <x:c r="P90" s="22"/>
      <x:c r="Q90" s="41">
        <x:f t="shared" si="2"/>
      </x:c>
      <x:c r="R90" s="44"/>
      <x:c r="S90" s="44"/>
      <x:c r="T90" s="50" t="n">
        <x:f>SUM(F90:S90)</x:f>
        <x:v>0</x:v>
      </x:c>
    </x:row>
    <x:row r="91">
      <x:c r="A91" s="3" t="s">
        <x:v>20</x:v>
      </x:c>
      <x:c r="B91" s="2" t="s">
        <x:v>59</x:v>
      </x:c>
      <x:c r="C91" s="3">
        <x:v>138</x:v>
      </x:c>
      <x:c r="D91" s="3">
        <x:v>1839</x:v>
      </x:c>
      <x:c r="E91" s="3" t="s">
        <x:v>47</x:v>
      </x:c>
      <x:c r="F91" s="22"/>
      <x:c r="G91" s="22"/>
      <x:c r="H91" s="22"/>
      <x:c r="I91" s="22"/>
      <x:c r="J91" s="22"/>
      <x:c r="K91" s="22"/>
      <x:c r="L91" s="22"/>
      <x:c r="M91" s="22"/>
      <x:c r="N91" s="22"/>
      <x:c r="O91" s="22"/>
      <x:c r="P91" s="22"/>
      <x:c r="Q91" s="41">
        <x:f t="shared" si="2"/>
      </x:c>
      <x:c r="R91" s="44"/>
      <x:c r="S91" s="44"/>
      <x:c r="T91" s="50" t="n">
        <x:f>SUM(F91:S91)</x:f>
        <x:v>0</x:v>
      </x:c>
    </x:row>
    <x:row r="92">
      <x:c r="A92" s="3" t="s">
        <x:v>20</x:v>
      </x:c>
      <x:c r="B92" s="2" t="s">
        <x:v>59</x:v>
      </x:c>
      <x:c r="C92" s="3">
        <x:v>177</x:v>
      </x:c>
      <x:c r="D92" s="3">
        <x:v>1839</x:v>
      </x:c>
      <x:c r="E92" s="3" t="s">
        <x:v>47</x:v>
      </x:c>
      <x:c r="F92" s="22"/>
      <x:c r="G92" s="22"/>
      <x:c r="H92" s="22"/>
      <x:c r="I92" s="22"/>
      <x:c r="J92" s="22"/>
      <x:c r="K92" s="22"/>
      <x:c r="L92" s="22"/>
      <x:c r="M92" s="22"/>
      <x:c r="N92" s="22"/>
      <x:c r="O92" s="22"/>
      <x:c r="P92" s="22"/>
      <x:c r="Q92" s="41">
        <x:f t="shared" si="2"/>
      </x:c>
      <x:c r="R92" s="44"/>
      <x:c r="S92" s="44"/>
      <x:c r="T92" s="50" t="n">
        <x:f>SUM(F92:S92)</x:f>
        <x:v>0</x:v>
      </x:c>
    </x:row>
    <x:row r="93">
      <x:c r="A93" s="3" t="s">
        <x:v>20</x:v>
      </x:c>
      <x:c r="B93" s="2" t="s">
        <x:v>59</x:v>
      </x:c>
      <x:c r="C93" s="3">
        <x:v>188</x:v>
      </x:c>
      <x:c r="D93" s="3">
        <x:v>1839</x:v>
      </x:c>
      <x:c r="E93" s="3" t="s">
        <x:v>47</x:v>
      </x:c>
      <x:c r="F93" s="22"/>
      <x:c r="G93" s="22"/>
      <x:c r="H93" s="22"/>
      <x:c r="I93" s="22"/>
      <x:c r="J93" s="22"/>
      <x:c r="K93" s="22"/>
      <x:c r="L93" s="22"/>
      <x:c r="M93" s="22"/>
      <x:c r="N93" s="22"/>
      <x:c r="O93" s="22"/>
      <x:c r="P93" s="22"/>
      <x:c r="Q93" s="41">
        <x:f t="shared" si="2"/>
      </x:c>
      <x:c r="R93" s="44"/>
      <x:c r="S93" s="44"/>
      <x:c r="T93" s="50" t="n">
        <x:f>SUM(F93:S93)</x:f>
        <x:v>0</x:v>
      </x:c>
    </x:row>
    <x:row r="94">
      <x:c r="A94" s="3" t="s">
        <x:v>20</x:v>
      </x:c>
      <x:c r="B94" s="2" t="s">
        <x:v>59</x:v>
      </x:c>
      <x:c r="C94" s="3">
        <x:v>192</x:v>
      </x:c>
      <x:c r="D94" s="3">
        <x:v>1839</x:v>
      </x:c>
      <x:c r="E94" s="3" t="s">
        <x:v>47</x:v>
      </x:c>
      <x:c r="F94" s="22"/>
      <x:c r="G94" s="22"/>
      <x:c r="H94" s="22"/>
      <x:c r="I94" s="22"/>
      <x:c r="J94" s="22"/>
      <x:c r="K94" s="22"/>
      <x:c r="L94" s="22"/>
      <x:c r="M94" s="22"/>
      <x:c r="N94" s="22"/>
      <x:c r="O94" s="22"/>
      <x:c r="P94" s="22"/>
      <x:c r="Q94" s="41">
        <x:f t="shared" si="2"/>
      </x:c>
      <x:c r="R94" s="44"/>
      <x:c r="S94" s="44"/>
      <x:c r="T94" s="50" t="n">
        <x:f>SUM(F94:S94)</x:f>
        <x:v>0</x:v>
      </x:c>
    </x:row>
    <x:row r="95">
      <x:c r="A95" s="3" t="s">
        <x:v>20</x:v>
      </x:c>
      <x:c r="B95" s="2" t="s">
        <x:v>60</x:v>
      </x:c>
      <x:c r="C95" s="3">
        <x:v>211</x:v>
      </x:c>
      <x:c r="D95" s="3">
        <x:v>31</x:v>
      </x:c>
      <x:c r="E95" s="3" t="s">
        <x:v>47</x:v>
      </x:c>
      <x:c r="F95" s="22"/>
      <x:c r="G95" s="22"/>
      <x:c r="H95" s="22"/>
      <x:c r="I95" s="22"/>
      <x:c r="J95" s="22"/>
      <x:c r="K95" s="22"/>
      <x:c r="L95" s="22"/>
      <x:c r="M95" s="22"/>
      <x:c r="N95" s="22"/>
      <x:c r="O95" s="22"/>
      <x:c r="P95" s="22"/>
      <x:c r="Q95" s="41">
        <x:f t="shared" si="2"/>
      </x:c>
      <x:c r="R95" s="44"/>
      <x:c r="S95" s="44"/>
      <x:c r="T95" s="50" t="n">
        <x:f>SUM(F95:S95)</x:f>
        <x:v>0</x:v>
      </x:c>
    </x:row>
    <x:row r="96">
      <x:c r="A96" s="3" t="s">
        <x:v>20</x:v>
      </x:c>
      <x:c r="B96" s="2" t="s">
        <x:v>61</x:v>
      </x:c>
      <x:c r="C96" s="3">
        <x:v>212</x:v>
      </x:c>
      <x:c r="D96" s="3">
        <x:v>558</x:v>
      </x:c>
      <x:c r="E96" s="3" t="s">
        <x:v>47</x:v>
      </x:c>
      <x:c r="F96" s="22"/>
      <x:c r="G96" s="22"/>
      <x:c r="H96" s="22"/>
      <x:c r="I96" s="22"/>
      <x:c r="J96" s="22"/>
      <x:c r="K96" s="22"/>
      <x:c r="L96" s="22"/>
      <x:c r="M96" s="22"/>
      <x:c r="N96" s="22"/>
      <x:c r="O96" s="22"/>
      <x:c r="P96" s="22"/>
      <x:c r="Q96" s="41">
        <x:f t="shared" si="2"/>
      </x:c>
      <x:c r="R96" s="44"/>
      <x:c r="S96" s="44"/>
      <x:c r="T96" s="50" t="n">
        <x:f>SUM(F96:S96)</x:f>
        <x:v>0</x:v>
      </x:c>
    </x:row>
    <x:row r="97">
      <x:c r="A97" s="3" t="s">
        <x:v>20</x:v>
      </x:c>
      <x:c r="B97" s="2" t="s">
        <x:v>61</x:v>
      </x:c>
      <x:c r="C97" s="3">
        <x:v>213</x:v>
      </x:c>
      <x:c r="D97" s="3">
        <x:v>558</x:v>
      </x:c>
      <x:c r="E97" s="3" t="s">
        <x:v>47</x:v>
      </x:c>
      <x:c r="F97" s="22"/>
      <x:c r="G97" s="22"/>
      <x:c r="H97" s="22"/>
      <x:c r="I97" s="22"/>
      <x:c r="J97" s="22"/>
      <x:c r="K97" s="22"/>
      <x:c r="L97" s="22"/>
      <x:c r="M97" s="22"/>
      <x:c r="N97" s="22"/>
      <x:c r="O97" s="22"/>
      <x:c r="P97" s="22"/>
      <x:c r="Q97" s="41">
        <x:f t="shared" si="2"/>
      </x:c>
      <x:c r="R97" s="44"/>
      <x:c r="S97" s="44"/>
      <x:c r="T97" s="50" t="n">
        <x:f>SUM(F97:S97)</x:f>
        <x:v>0</x:v>
      </x:c>
    </x:row>
    <x:row r="98">
      <x:c r="A98" s="3" t="s">
        <x:v>20</x:v>
      </x:c>
      <x:c r="B98" s="2" t="s">
        <x:v>62</x:v>
      </x:c>
      <x:c r="C98" s="3">
        <x:v>65</x:v>
      </x:c>
      <x:c r="D98" s="3">
        <x:v>1588</x:v>
      </x:c>
      <x:c r="E98" s="3" t="s">
        <x:v>47</x:v>
      </x:c>
      <x:c r="F98" s="22"/>
      <x:c r="G98" s="22"/>
      <x:c r="H98" s="22"/>
      <x:c r="I98" s="22"/>
      <x:c r="J98" s="22"/>
      <x:c r="K98" s="22"/>
      <x:c r="L98" s="22"/>
      <x:c r="M98" s="22"/>
      <x:c r="N98" s="22"/>
      <x:c r="O98" s="22"/>
      <x:c r="P98" s="22"/>
      <x:c r="Q98" s="41">
        <x:f t="shared" si="2"/>
      </x:c>
      <x:c r="R98" s="44"/>
      <x:c r="S98" s="44"/>
      <x:c r="T98" s="50" t="n">
        <x:f>SUM(F98:S98)</x:f>
        <x:v>0</x:v>
      </x:c>
    </x:row>
    <x:row r="99">
      <x:c r="A99" s="3" t="s">
        <x:v>20</x:v>
      </x:c>
      <x:c r="B99" s="2" t="s">
        <x:v>62</x:v>
      </x:c>
      <x:c r="C99" s="3">
        <x:v>68</x:v>
      </x:c>
      <x:c r="D99" s="3">
        <x:v>1588</x:v>
      </x:c>
      <x:c r="E99" s="3" t="s">
        <x:v>47</x:v>
      </x:c>
      <x:c r="F99" s="22"/>
      <x:c r="G99" s="22"/>
      <x:c r="H99" s="22"/>
      <x:c r="I99" s="22"/>
      <x:c r="J99" s="22"/>
      <x:c r="K99" s="22"/>
      <x:c r="L99" s="22"/>
      <x:c r="M99" s="22"/>
      <x:c r="N99" s="22"/>
      <x:c r="O99" s="22"/>
      <x:c r="P99" s="22"/>
      <x:c r="Q99" s="41">
        <x:f t="shared" si="2"/>
      </x:c>
      <x:c r="R99" s="44"/>
      <x:c r="S99" s="44"/>
      <x:c r="T99" s="50" t="n">
        <x:f>SUM(F99:S99)</x:f>
        <x:v>0</x:v>
      </x:c>
    </x:row>
    <x:row r="100">
      <x:c r="A100" s="3" t="s">
        <x:v>20</x:v>
      </x:c>
      <x:c r="B100" s="2" t="s">
        <x:v>62</x:v>
      </x:c>
      <x:c r="C100" s="3">
        <x:v>74</x:v>
      </x:c>
      <x:c r="D100" s="3">
        <x:v>1588</x:v>
      </x:c>
      <x:c r="E100" s="3" t="s">
        <x:v>47</x:v>
      </x:c>
      <x:c r="F100" s="22"/>
      <x:c r="G100" s="22"/>
      <x:c r="H100" s="22"/>
      <x:c r="I100" s="22"/>
      <x:c r="J100" s="22"/>
      <x:c r="K100" s="22"/>
      <x:c r="L100" s="22"/>
      <x:c r="M100" s="22"/>
      <x:c r="N100" s="22"/>
      <x:c r="O100" s="22"/>
      <x:c r="P100" s="22"/>
      <x:c r="Q100" s="41">
        <x:f t="shared" si="2"/>
      </x:c>
      <x:c r="R100" s="44"/>
      <x:c r="S100" s="44"/>
      <x:c r="T100" s="50" t="n">
        <x:f>SUM(F100:S100)</x:f>
        <x:v>0</x:v>
      </x:c>
    </x:row>
    <x:row r="101">
      <x:c r="A101" s="3" t="s">
        <x:v>20</x:v>
      </x:c>
      <x:c r="B101" s="2" t="s">
        <x:v>62</x:v>
      </x:c>
      <x:c r="C101" s="3">
        <x:v>75</x:v>
      </x:c>
      <x:c r="D101" s="3">
        <x:v>1588</x:v>
      </x:c>
      <x:c r="E101" s="3" t="s">
        <x:v>47</x:v>
      </x:c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2"/>
      <x:c r="Q101" s="41">
        <x:f t="shared" ref="Q101:Q102" si="3">SUM(F101:P101)</x:f>
      </x:c>
      <x:c r="R101" s="44"/>
      <x:c r="S101" s="44"/>
      <x:c r="T101" s="50" t="n">
        <x:f>SUM(F101:S101)</x:f>
        <x:v>0</x:v>
      </x:c>
    </x:row>
    <x:row r="102">
      <x:c r="A102" s="3" t="s">
        <x:v>20</x:v>
      </x:c>
      <x:c r="B102" s="2" t="s">
        <x:v>62</x:v>
      </x:c>
      <x:c r="C102" s="3">
        <x:v>76</x:v>
      </x:c>
      <x:c r="D102" s="3">
        <x:v>1588</x:v>
      </x:c>
      <x:c r="E102" s="3" t="s">
        <x:v>47</x:v>
      </x:c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2"/>
      <x:c r="Q102" s="41">
        <x:f t="shared" si="3"/>
      </x:c>
      <x:c r="R102" s="44"/>
      <x:c r="S102" s="44"/>
      <x:c r="T102" s="50" t="n">
        <x:f>SUM(F102:S102)</x:f>
        <x:v>0</x:v>
      </x:c>
    </x:row>
  </x:sheetData>
  <x:mergeCells>
    <x:mergeCell ref="A1:T1"/>
    <x:mergeCell ref="A2:T2"/>
  </x:mergeCells>
  <x:dataValidations count="1">
    <x:dataValidation type="list" allowBlank="1" sqref="E5:E102">
      <x:formula1>"Pendente,Apurada"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2185c26f5c7b4225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ColWidth="8.6640625" defaultRowHeight="14.399999618530273"/>
  <x:cols>
    <x:col min="1" max="1" width="7" customWidth="1"/>
    <x:col min="2" max="2" width="44" customWidth="1"/>
    <x:col min="3" max="3" width="8" customWidth="1"/>
    <x:col min="4" max="4" width="13" customWidth="1"/>
    <x:col min="5" max="5" width="11" customWidth="1"/>
    <x:col min="6" max="16" width="16" customWidth="1"/>
    <x:col min="17" max="17" width="13.75" hidden="0" customWidth="1"/>
    <x:col min="18" max="18" width="13.75" hidden="0" customWidth="1"/>
    <x:col min="19" max="19" width="13.75" hidden="0" customWidth="1"/>
    <x:col min="20" max="20" width="13.75" hidden="0" customWidth="1"/>
  </x:cols>
  <x:sheetData>
    <x:row r="1" ht="25.5" customHeight="1">
      <x:c r="A1" s="23" t="s">
        <x:v>63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</x:row>
    <x:row r="2" ht="25.5" customHeight="1">
      <x:c r="A2" s="30" t="s">
        <x:v>38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</x:row>
    <x:row r="3" ht="57.75" customHeight="1">
      <x:c r="A3" s="1" t="s">
        <x:v>3</x:v>
      </x:c>
      <x:c r="B3" s="1" t="s">
        <x:v>42</x:v>
      </x:c>
      <x:c r="C3" s="1" t="s">
        <x:v>43</x:v>
      </x:c>
      <x:c r="D3" s="1" t="s">
        <x:v>44</x:v>
      </x:c>
      <x:c r="E3" s="1" t="s">
        <x:v>45</x:v>
      </x:c>
      <x:c r="F3" s="1" t="s">
        <x:v>8</x:v>
      </x:c>
      <x:c r="G3" s="1" t="s">
        <x:v>9</x:v>
      </x:c>
      <x:c r="H3" s="1" t="s">
        <x:v>10</x:v>
      </x:c>
      <x:c r="I3" s="1" t="s">
        <x:v>11</x:v>
      </x:c>
      <x:c r="J3" s="1" t="s">
        <x:v>12</x:v>
      </x:c>
      <x:c r="K3" s="1" t="s">
        <x:v>13</x:v>
      </x:c>
      <x:c r="L3" s="1" t="s">
        <x:v>14</x:v>
      </x:c>
      <x:c r="M3" s="1" t="s">
        <x:v>15</x:v>
      </x:c>
      <x:c r="N3" s="1" t="s">
        <x:v>16</x:v>
      </x:c>
      <x:c r="O3" s="1" t="s">
        <x:v>17</x:v>
      </x:c>
      <x:c r="P3" s="1" t="s">
        <x:v>18</x:v>
      </x:c>
      <x:c r="Q3" s="31" t="str">
        <x:v>Dep. Federal
Wellington Roberto</x:v>
      </x:c>
      <x:c r="R3" s="31" t="str">
        <x:v>Dep. Federal
Wilson Santiago</x:v>
      </x:c>
      <x:c r="S3" s="31" t="str">
        <x:v>Dep. Federal
Aguinaldo Ribeiro</x:v>
      </x:c>
      <x:c r="T3" s="31" t="str">
        <x:v>Total lançado
(14 candidatos)</x:v>
      </x:c>
    </x:row>
    <x:row r="4">
      <x:c r="A4" s="11" t="s">
        <x:v>22</x:v>
      </x:c>
      <x:c r="B4" s="10" t="s">
        <x:v>64</x:v>
      </x:c>
      <x:c r="C4" s="11">
        <x:v>23</x:v>
      </x:c>
      <x:c r="D4" s="11">
        <x:v>5110</x:v>
      </x:c>
      <x:c r="E4" s="11" t="s">
        <x:v>47</x:v>
      </x:c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41">
        <x:f t="shared" ref="Q4:Q35" si="0">SUM(F4:P4)</x:f>
      </x:c>
      <x:c r="R4" s="44"/>
      <x:c r="S4" s="44"/>
      <x:c r="T4" s="50" t="n">
        <x:f>SUM(F4:S4)</x:f>
        <x:v>0</x:v>
      </x:c>
    </x:row>
    <x:row r="5">
      <x:c r="A5" s="7" t="s">
        <x:v>22</x:v>
      </x:c>
      <x:c r="B5" s="6" t="s">
        <x:v>64</x:v>
      </x:c>
      <x:c r="C5" s="7">
        <x:v>24</x:v>
      </x:c>
      <x:c r="D5" s="7">
        <x:v>5110</x:v>
      </x:c>
      <x:c r="E5" s="7" t="s">
        <x:v>47</x:v>
      </x:c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41">
        <x:f t="shared" si="0"/>
      </x:c>
      <x:c r="R5" s="44"/>
      <x:c r="S5" s="44"/>
      <x:c r="T5" s="50" t="n">
        <x:f>SUM(F5:S5)</x:f>
        <x:v>0</x:v>
      </x:c>
    </x:row>
    <x:row r="6">
      <x:c r="A6" s="11" t="s">
        <x:v>22</x:v>
      </x:c>
      <x:c r="B6" s="10" t="s">
        <x:v>64</x:v>
      </x:c>
      <x:c r="C6" s="11">
        <x:v>35</x:v>
      </x:c>
      <x:c r="D6" s="11">
        <x:v>5110</x:v>
      </x:c>
      <x:c r="E6" s="11" t="s">
        <x:v>47</x:v>
      </x:c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41">
        <x:f t="shared" si="0"/>
      </x:c>
      <x:c r="R6" s="44"/>
      <x:c r="S6" s="44"/>
      <x:c r="T6" s="50" t="n">
        <x:f>SUM(F6:S6)</x:f>
        <x:v>0</x:v>
      </x:c>
    </x:row>
    <x:row r="7">
      <x:c r="A7" s="7" t="s">
        <x:v>22</x:v>
      </x:c>
      <x:c r="B7" s="6" t="s">
        <x:v>64</x:v>
      </x:c>
      <x:c r="C7" s="7">
        <x:v>36</x:v>
      </x:c>
      <x:c r="D7" s="7">
        <x:v>5110</x:v>
      </x:c>
      <x:c r="E7" s="7" t="s">
        <x:v>47</x:v>
      </x:c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41">
        <x:f t="shared" si="0"/>
      </x:c>
      <x:c r="R7" s="44"/>
      <x:c r="S7" s="44"/>
      <x:c r="T7" s="50" t="n">
        <x:f>SUM(F7:S7)</x:f>
        <x:v>0</x:v>
      </x:c>
    </x:row>
    <x:row r="8">
      <x:c r="A8" s="11" t="s">
        <x:v>22</x:v>
      </x:c>
      <x:c r="B8" s="10" t="s">
        <x:v>64</x:v>
      </x:c>
      <x:c r="C8" s="11">
        <x:v>38</x:v>
      </x:c>
      <x:c r="D8" s="11">
        <x:v>5110</x:v>
      </x:c>
      <x:c r="E8" s="11" t="s">
        <x:v>47</x:v>
      </x:c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41">
        <x:f t="shared" si="0"/>
      </x:c>
      <x:c r="R8" s="44"/>
      <x:c r="S8" s="44"/>
      <x:c r="T8" s="50" t="n">
        <x:f>SUM(F8:S8)</x:f>
        <x:v>0</x:v>
      </x:c>
    </x:row>
    <x:row r="9">
      <x:c r="A9" s="7" t="s">
        <x:v>22</x:v>
      </x:c>
      <x:c r="B9" s="6" t="s">
        <x:v>64</x:v>
      </x:c>
      <x:c r="C9" s="7">
        <x:v>39</x:v>
      </x:c>
      <x:c r="D9" s="7">
        <x:v>5110</x:v>
      </x:c>
      <x:c r="E9" s="7" t="s">
        <x:v>47</x:v>
      </x:c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41">
        <x:f t="shared" si="0"/>
      </x:c>
      <x:c r="R9" s="44"/>
      <x:c r="S9" s="44"/>
      <x:c r="T9" s="50" t="n">
        <x:f>SUM(F9:S9)</x:f>
        <x:v>0</x:v>
      </x:c>
    </x:row>
    <x:row r="10">
      <x:c r="A10" s="11" t="s">
        <x:v>22</x:v>
      </x:c>
      <x:c r="B10" s="10" t="s">
        <x:v>64</x:v>
      </x:c>
      <x:c r="C10" s="11">
        <x:v>40</x:v>
      </x:c>
      <x:c r="D10" s="11">
        <x:v>5110</x:v>
      </x:c>
      <x:c r="E10" s="11" t="s">
        <x:v>47</x:v>
      </x:c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41">
        <x:f t="shared" si="0"/>
      </x:c>
      <x:c r="R10" s="44"/>
      <x:c r="S10" s="44"/>
      <x:c r="T10" s="50" t="n">
        <x:f>SUM(F10:S10)</x:f>
        <x:v>0</x:v>
      </x:c>
    </x:row>
    <x:row r="11">
      <x:c r="A11" s="7" t="s">
        <x:v>22</x:v>
      </x:c>
      <x:c r="B11" s="6" t="s">
        <x:v>64</x:v>
      </x:c>
      <x:c r="C11" s="7">
        <x:v>41</x:v>
      </x:c>
      <x:c r="D11" s="7">
        <x:v>5110</x:v>
      </x:c>
      <x:c r="E11" s="7" t="s">
        <x:v>47</x:v>
      </x:c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41">
        <x:f t="shared" si="0"/>
      </x:c>
      <x:c r="R11" s="44"/>
      <x:c r="S11" s="44"/>
      <x:c r="T11" s="50" t="n">
        <x:f>SUM(F11:S11)</x:f>
        <x:v>0</x:v>
      </x:c>
    </x:row>
    <x:row r="12">
      <x:c r="A12" s="11" t="s">
        <x:v>22</x:v>
      </x:c>
      <x:c r="B12" s="10" t="s">
        <x:v>64</x:v>
      </x:c>
      <x:c r="C12" s="11">
        <x:v>42</x:v>
      </x:c>
      <x:c r="D12" s="11">
        <x:v>5110</x:v>
      </x:c>
      <x:c r="E12" s="11" t="s">
        <x:v>47</x:v>
      </x:c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41">
        <x:f t="shared" si="0"/>
      </x:c>
      <x:c r="R12" s="44"/>
      <x:c r="S12" s="44"/>
      <x:c r="T12" s="50" t="n">
        <x:f>SUM(F12:S12)</x:f>
        <x:v>0</x:v>
      </x:c>
    </x:row>
    <x:row r="13">
      <x:c r="A13" s="7" t="s">
        <x:v>22</x:v>
      </x:c>
      <x:c r="B13" s="6" t="s">
        <x:v>64</x:v>
      </x:c>
      <x:c r="C13" s="7">
        <x:v>43</x:v>
      </x:c>
      <x:c r="D13" s="7">
        <x:v>5110</x:v>
      </x:c>
      <x:c r="E13" s="7" t="s">
        <x:v>47</x:v>
      </x:c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41">
        <x:f t="shared" si="0"/>
      </x:c>
      <x:c r="R13" s="44"/>
      <x:c r="S13" s="44"/>
      <x:c r="T13" s="50" t="n">
        <x:f>SUM(F13:S13)</x:f>
        <x:v>0</x:v>
      </x:c>
    </x:row>
    <x:row r="14">
      <x:c r="A14" s="11" t="s">
        <x:v>22</x:v>
      </x:c>
      <x:c r="B14" s="10" t="s">
        <x:v>64</x:v>
      </x:c>
      <x:c r="C14" s="11">
        <x:v>44</x:v>
      </x:c>
      <x:c r="D14" s="11">
        <x:v>5110</x:v>
      </x:c>
      <x:c r="E14" s="11" t="s">
        <x:v>47</x:v>
      </x:c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41">
        <x:f t="shared" si="0"/>
      </x:c>
      <x:c r="R14" s="44"/>
      <x:c r="S14" s="44"/>
      <x:c r="T14" s="50" t="n">
        <x:f>SUM(F14:S14)</x:f>
        <x:v>0</x:v>
      </x:c>
    </x:row>
    <x:row r="15">
      <x:c r="A15" s="7" t="s">
        <x:v>22</x:v>
      </x:c>
      <x:c r="B15" s="6" t="s">
        <x:v>64</x:v>
      </x:c>
      <x:c r="C15" s="7">
        <x:v>47</x:v>
      </x:c>
      <x:c r="D15" s="7">
        <x:v>5110</x:v>
      </x:c>
      <x:c r="E15" s="7" t="s">
        <x:v>47</x:v>
      </x:c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41">
        <x:f t="shared" si="0"/>
      </x:c>
      <x:c r="R15" s="44"/>
      <x:c r="S15" s="44"/>
      <x:c r="T15" s="50" t="n">
        <x:f>SUM(F15:S15)</x:f>
        <x:v>0</x:v>
      </x:c>
    </x:row>
    <x:row r="16">
      <x:c r="A16" s="11" t="s">
        <x:v>22</x:v>
      </x:c>
      <x:c r="B16" s="10" t="s">
        <x:v>64</x:v>
      </x:c>
      <x:c r="C16" s="11">
        <x:v>48</x:v>
      </x:c>
      <x:c r="D16" s="11">
        <x:v>5110</x:v>
      </x:c>
      <x:c r="E16" s="11" t="s">
        <x:v>47</x:v>
      </x:c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41">
        <x:f t="shared" si="0"/>
      </x:c>
      <x:c r="R16" s="44"/>
      <x:c r="S16" s="44"/>
      <x:c r="T16" s="50" t="n">
        <x:f>SUM(F16:S16)</x:f>
        <x:v>0</x:v>
      </x:c>
    </x:row>
    <x:row r="17">
      <x:c r="A17" s="7" t="s">
        <x:v>22</x:v>
      </x:c>
      <x:c r="B17" s="6" t="s">
        <x:v>64</x:v>
      </x:c>
      <x:c r="C17" s="7">
        <x:v>49</x:v>
      </x:c>
      <x:c r="D17" s="7">
        <x:v>5110</x:v>
      </x:c>
      <x:c r="E17" s="7" t="s">
        <x:v>47</x:v>
      </x:c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41">
        <x:f t="shared" si="0"/>
      </x:c>
      <x:c r="R17" s="44"/>
      <x:c r="S17" s="44"/>
      <x:c r="T17" s="50" t="n">
        <x:f>SUM(F17:S17)</x:f>
        <x:v>0</x:v>
      </x:c>
    </x:row>
    <x:row r="18">
      <x:c r="A18" s="11" t="s">
        <x:v>22</x:v>
      </x:c>
      <x:c r="B18" s="10" t="s">
        <x:v>64</x:v>
      </x:c>
      <x:c r="C18" s="11">
        <x:v>50</x:v>
      </x:c>
      <x:c r="D18" s="11">
        <x:v>5110</x:v>
      </x:c>
      <x:c r="E18" s="11" t="s">
        <x:v>47</x:v>
      </x:c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41">
        <x:f t="shared" si="0"/>
      </x:c>
      <x:c r="R18" s="44"/>
      <x:c r="S18" s="44"/>
      <x:c r="T18" s="50" t="n">
        <x:f>SUM(F18:S18)</x:f>
        <x:v>0</x:v>
      </x:c>
    </x:row>
    <x:row r="19">
      <x:c r="A19" s="7" t="s">
        <x:v>22</x:v>
      </x:c>
      <x:c r="B19" s="6" t="s">
        <x:v>64</x:v>
      </x:c>
      <x:c r="C19" s="7">
        <x:v>51</x:v>
      </x:c>
      <x:c r="D19" s="7">
        <x:v>5110</x:v>
      </x:c>
      <x:c r="E19" s="7" t="s">
        <x:v>47</x:v>
      </x:c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41">
        <x:f t="shared" si="0"/>
      </x:c>
      <x:c r="R19" s="44"/>
      <x:c r="S19" s="44"/>
      <x:c r="T19" s="50" t="n">
        <x:f>SUM(F19:S19)</x:f>
        <x:v>0</x:v>
      </x:c>
    </x:row>
    <x:row r="20">
      <x:c r="A20" s="11" t="s">
        <x:v>22</x:v>
      </x:c>
      <x:c r="B20" s="10" t="s">
        <x:v>64</x:v>
      </x:c>
      <x:c r="C20" s="11">
        <x:v>59</x:v>
      </x:c>
      <x:c r="D20" s="11">
        <x:v>5110</x:v>
      </x:c>
      <x:c r="E20" s="11" t="s">
        <x:v>47</x:v>
      </x:c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41">
        <x:f t="shared" si="0"/>
      </x:c>
      <x:c r="R20" s="44"/>
      <x:c r="S20" s="44"/>
      <x:c r="T20" s="50" t="n">
        <x:f>SUM(F20:S20)</x:f>
        <x:v>0</x:v>
      </x:c>
    </x:row>
    <x:row r="21">
      <x:c r="A21" s="7" t="s">
        <x:v>22</x:v>
      </x:c>
      <x:c r="B21" s="6" t="s">
        <x:v>64</x:v>
      </x:c>
      <x:c r="C21" s="7">
        <x:v>61</x:v>
      </x:c>
      <x:c r="D21" s="7">
        <x:v>5110</x:v>
      </x:c>
      <x:c r="E21" s="7" t="s">
        <x:v>47</x:v>
      </x:c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41">
        <x:f t="shared" si="0"/>
      </x:c>
      <x:c r="R21" s="44"/>
      <x:c r="S21" s="44"/>
      <x:c r="T21" s="50" t="n">
        <x:f>SUM(F21:S21)</x:f>
        <x:v>0</x:v>
      </x:c>
    </x:row>
    <x:row r="22">
      <x:c r="A22" s="11" t="s">
        <x:v>22</x:v>
      </x:c>
      <x:c r="B22" s="10" t="s">
        <x:v>65</x:v>
      </x:c>
      <x:c r="C22" s="11">
        <x:v>57</x:v>
      </x:c>
      <x:c r="D22" s="11">
        <x:v>484</x:v>
      </x:c>
      <x:c r="E22" s="11" t="s">
        <x:v>47</x:v>
      </x:c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41">
        <x:f t="shared" si="0"/>
      </x:c>
      <x:c r="R22" s="44"/>
      <x:c r="S22" s="44"/>
      <x:c r="T22" s="50" t="n">
        <x:f>SUM(F22:S22)</x:f>
        <x:v>0</x:v>
      </x:c>
    </x:row>
    <x:row r="23">
      <x:c r="A23" s="7" t="s">
        <x:v>22</x:v>
      </x:c>
      <x:c r="B23" s="6" t="s">
        <x:v>65</x:v>
      </x:c>
      <x:c r="C23" s="7">
        <x:v>58</x:v>
      </x:c>
      <x:c r="D23" s="7">
        <x:v>484</x:v>
      </x:c>
      <x:c r="E23" s="7" t="s">
        <x:v>47</x:v>
      </x:c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41">
        <x:f t="shared" si="0"/>
      </x:c>
      <x:c r="R23" s="44"/>
      <x:c r="S23" s="44"/>
      <x:c r="T23" s="50" t="n">
        <x:f>SUM(F23:S23)</x:f>
        <x:v>0</x:v>
      </x:c>
    </x:row>
    <x:row r="24">
      <x:c r="A24" s="11" t="s">
        <x:v>22</x:v>
      </x:c>
      <x:c r="B24" s="10" t="s">
        <x:v>66</x:v>
      </x:c>
      <x:c r="C24" s="11">
        <x:v>63</x:v>
      </x:c>
      <x:c r="D24" s="11">
        <x:v>1323</x:v>
      </x:c>
      <x:c r="E24" s="11" t="s">
        <x:v>47</x:v>
      </x:c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41">
        <x:f t="shared" si="0"/>
      </x:c>
      <x:c r="R24" s="44"/>
      <x:c r="S24" s="44"/>
      <x:c r="T24" s="50" t="n">
        <x:f>SUM(F24:S24)</x:f>
        <x:v>0</x:v>
      </x:c>
    </x:row>
    <x:row r="25">
      <x:c r="A25" s="7" t="s">
        <x:v>22</x:v>
      </x:c>
      <x:c r="B25" s="6" t="s">
        <x:v>66</x:v>
      </x:c>
      <x:c r="C25" s="7">
        <x:v>64</x:v>
      </x:c>
      <x:c r="D25" s="7">
        <x:v>1323</x:v>
      </x:c>
      <x:c r="E25" s="7" t="s">
        <x:v>47</x:v>
      </x:c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41">
        <x:f t="shared" si="0"/>
      </x:c>
      <x:c r="R25" s="44"/>
      <x:c r="S25" s="44"/>
      <x:c r="T25" s="50" t="n">
        <x:f>SUM(F25:S25)</x:f>
        <x:v>0</x:v>
      </x:c>
    </x:row>
    <x:row r="26">
      <x:c r="A26" s="11" t="s">
        <x:v>22</x:v>
      </x:c>
      <x:c r="B26" s="10" t="s">
        <x:v>66</x:v>
      </x:c>
      <x:c r="C26" s="11">
        <x:v>84</x:v>
      </x:c>
      <x:c r="D26" s="11">
        <x:v>1323</x:v>
      </x:c>
      <x:c r="E26" s="11" t="s">
        <x:v>47</x:v>
      </x:c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41">
        <x:f t="shared" si="0"/>
      </x:c>
      <x:c r="R26" s="44"/>
      <x:c r="S26" s="44"/>
      <x:c r="T26" s="50" t="n">
        <x:f>SUM(F26:S26)</x:f>
        <x:v>0</x:v>
      </x:c>
    </x:row>
    <x:row r="27">
      <x:c r="A27" s="7" t="s">
        <x:v>22</x:v>
      </x:c>
      <x:c r="B27" s="6" t="s">
        <x:v>66</x:v>
      </x:c>
      <x:c r="C27" s="7">
        <x:v>128</x:v>
      </x:c>
      <x:c r="D27" s="7">
        <x:v>1323</x:v>
      </x:c>
      <x:c r="E27" s="7" t="s">
        <x:v>47</x:v>
      </x:c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41">
        <x:f t="shared" si="0"/>
      </x:c>
      <x:c r="R27" s="44"/>
      <x:c r="S27" s="44"/>
      <x:c r="T27" s="50" t="n">
        <x:f>SUM(F27:S27)</x:f>
        <x:v>0</x:v>
      </x:c>
    </x:row>
    <x:row r="28">
      <x:c r="A28" s="11" t="s">
        <x:v>22</x:v>
      </x:c>
      <x:c r="B28" s="10" t="s">
        <x:v>67</x:v>
      </x:c>
      <x:c r="C28" s="11">
        <x:v>25</x:v>
      </x:c>
      <x:c r="D28" s="11">
        <x:v>4203</x:v>
      </x:c>
      <x:c r="E28" s="11" t="s">
        <x:v>47</x:v>
      </x:c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41">
        <x:f t="shared" si="0"/>
      </x:c>
      <x:c r="R28" s="44"/>
      <x:c r="S28" s="44"/>
      <x:c r="T28" s="50" t="n">
        <x:f>SUM(F28:S28)</x:f>
        <x:v>0</x:v>
      </x:c>
    </x:row>
    <x:row r="29">
      <x:c r="A29" s="7" t="s">
        <x:v>22</x:v>
      </x:c>
      <x:c r="B29" s="6" t="s">
        <x:v>67</x:v>
      </x:c>
      <x:c r="C29" s="7">
        <x:v>26</x:v>
      </x:c>
      <x:c r="D29" s="7">
        <x:v>4203</x:v>
      </x:c>
      <x:c r="E29" s="7" t="s">
        <x:v>47</x:v>
      </x:c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41">
        <x:f t="shared" si="0"/>
      </x:c>
      <x:c r="R29" s="44"/>
      <x:c r="S29" s="44"/>
      <x:c r="T29" s="50" t="n">
        <x:f>SUM(F29:S29)</x:f>
        <x:v>0</x:v>
      </x:c>
    </x:row>
    <x:row r="30">
      <x:c r="A30" s="11" t="s">
        <x:v>22</x:v>
      </x:c>
      <x:c r="B30" s="10" t="s">
        <x:v>67</x:v>
      </x:c>
      <x:c r="C30" s="11">
        <x:v>27</x:v>
      </x:c>
      <x:c r="D30" s="11">
        <x:v>4203</x:v>
      </x:c>
      <x:c r="E30" s="11" t="s">
        <x:v>47</x:v>
      </x:c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41">
        <x:f t="shared" si="0"/>
      </x:c>
      <x:c r="R30" s="44"/>
      <x:c r="S30" s="44"/>
      <x:c r="T30" s="50" t="n">
        <x:f>SUM(F30:S30)</x:f>
        <x:v>0</x:v>
      </x:c>
    </x:row>
    <x:row r="31">
      <x:c r="A31" s="7" t="s">
        <x:v>22</x:v>
      </x:c>
      <x:c r="B31" s="6" t="s">
        <x:v>67</x:v>
      </x:c>
      <x:c r="C31" s="7">
        <x:v>28</x:v>
      </x:c>
      <x:c r="D31" s="7">
        <x:v>4203</x:v>
      </x:c>
      <x:c r="E31" s="7" t="s">
        <x:v>47</x:v>
      </x:c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41">
        <x:f t="shared" si="0"/>
      </x:c>
      <x:c r="R31" s="44"/>
      <x:c r="S31" s="44"/>
      <x:c r="T31" s="50" t="n">
        <x:f>SUM(F31:S31)</x:f>
        <x:v>0</x:v>
      </x:c>
    </x:row>
    <x:row r="32">
      <x:c r="A32" s="11" t="s">
        <x:v>22</x:v>
      </x:c>
      <x:c r="B32" s="10" t="s">
        <x:v>67</x:v>
      </x:c>
      <x:c r="C32" s="11">
        <x:v>33</x:v>
      </x:c>
      <x:c r="D32" s="11">
        <x:v>4203</x:v>
      </x:c>
      <x:c r="E32" s="11" t="s">
        <x:v>47</x:v>
      </x:c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  <x:c r="Q32" s="41">
        <x:f t="shared" si="0"/>
      </x:c>
      <x:c r="R32" s="44"/>
      <x:c r="S32" s="44"/>
      <x:c r="T32" s="50" t="n">
        <x:f>SUM(F32:S32)</x:f>
        <x:v>0</x:v>
      </x:c>
    </x:row>
    <x:row r="33">
      <x:c r="A33" s="7" t="s">
        <x:v>22</x:v>
      </x:c>
      <x:c r="B33" s="6" t="s">
        <x:v>67</x:v>
      </x:c>
      <x:c r="C33" s="7">
        <x:v>34</x:v>
      </x:c>
      <x:c r="D33" s="7">
        <x:v>4203</x:v>
      </x:c>
      <x:c r="E33" s="7" t="s">
        <x:v>47</x:v>
      </x:c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  <x:c r="Q33" s="41">
        <x:f t="shared" si="0"/>
      </x:c>
      <x:c r="R33" s="44"/>
      <x:c r="S33" s="44"/>
      <x:c r="T33" s="50" t="n">
        <x:f>SUM(F33:S33)</x:f>
        <x:v>0</x:v>
      </x:c>
    </x:row>
    <x:row r="34">
      <x:c r="A34" s="11" t="s">
        <x:v>22</x:v>
      </x:c>
      <x:c r="B34" s="10" t="s">
        <x:v>67</x:v>
      </x:c>
      <x:c r="C34" s="11">
        <x:v>37</x:v>
      </x:c>
      <x:c r="D34" s="11">
        <x:v>4203</x:v>
      </x:c>
      <x:c r="E34" s="11" t="s">
        <x:v>47</x:v>
      </x:c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41">
        <x:f t="shared" si="0"/>
      </x:c>
      <x:c r="R34" s="44"/>
      <x:c r="S34" s="44"/>
      <x:c r="T34" s="50" t="n">
        <x:f>SUM(F34:S34)</x:f>
        <x:v>0</x:v>
      </x:c>
    </x:row>
    <x:row r="35">
      <x:c r="A35" s="7" t="s">
        <x:v>22</x:v>
      </x:c>
      <x:c r="B35" s="6" t="s">
        <x:v>67</x:v>
      </x:c>
      <x:c r="C35" s="7">
        <x:v>45</x:v>
      </x:c>
      <x:c r="D35" s="7">
        <x:v>4203</x:v>
      </x:c>
      <x:c r="E35" s="7" t="s">
        <x:v>47</x:v>
      </x:c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2"/>
      <x:c r="Q35" s="41">
        <x:f t="shared" si="0"/>
      </x:c>
      <x:c r="R35" s="44"/>
      <x:c r="S35" s="44"/>
      <x:c r="T35" s="50" t="n">
        <x:f>SUM(F35:S35)</x:f>
        <x:v>0</x:v>
      </x:c>
    </x:row>
    <x:row r="36">
      <x:c r="A36" s="11" t="s">
        <x:v>22</x:v>
      </x:c>
      <x:c r="B36" s="10" t="s">
        <x:v>67</x:v>
      </x:c>
      <x:c r="C36" s="11">
        <x:v>46</x:v>
      </x:c>
      <x:c r="D36" s="11">
        <x:v>4203</x:v>
      </x:c>
      <x:c r="E36" s="11" t="s">
        <x:v>47</x:v>
      </x:c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2"/>
      <x:c r="Q36" s="41">
        <x:f t="shared" ref="Q36:Q55" si="1">SUM(F36:P36)</x:f>
      </x:c>
      <x:c r="R36" s="44"/>
      <x:c r="S36" s="44"/>
      <x:c r="T36" s="50" t="n">
        <x:f>SUM(F36:S36)</x:f>
        <x:v>0</x:v>
      </x:c>
    </x:row>
    <x:row r="37">
      <x:c r="A37" s="7" t="s">
        <x:v>22</x:v>
      </x:c>
      <x:c r="B37" s="6" t="s">
        <x:v>67</x:v>
      </x:c>
      <x:c r="C37" s="7">
        <x:v>60</x:v>
      </x:c>
      <x:c r="D37" s="7">
        <x:v>4203</x:v>
      </x:c>
      <x:c r="E37" s="7" t="s">
        <x:v>47</x:v>
      </x:c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2"/>
      <x:c r="Q37" s="41">
        <x:f t="shared" si="1"/>
      </x:c>
      <x:c r="R37" s="44"/>
      <x:c r="S37" s="44"/>
      <x:c r="T37" s="50" t="n">
        <x:f>SUM(F37:S37)</x:f>
        <x:v>0</x:v>
      </x:c>
    </x:row>
    <x:row r="38">
      <x:c r="A38" s="11" t="s">
        <x:v>22</x:v>
      </x:c>
      <x:c r="B38" s="10" t="s">
        <x:v>67</x:v>
      </x:c>
      <x:c r="C38" s="11">
        <x:v>67</x:v>
      </x:c>
      <x:c r="D38" s="11">
        <x:v>4203</x:v>
      </x:c>
      <x:c r="E38" s="11" t="s">
        <x:v>47</x:v>
      </x:c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  <x:c r="P38" s="22"/>
      <x:c r="Q38" s="41">
        <x:f t="shared" si="1"/>
      </x:c>
      <x:c r="R38" s="44"/>
      <x:c r="S38" s="44"/>
      <x:c r="T38" s="50" t="n">
        <x:f>SUM(F38:S38)</x:f>
        <x:v>0</x:v>
      </x:c>
    </x:row>
    <x:row r="39">
      <x:c r="A39" s="7" t="s">
        <x:v>22</x:v>
      </x:c>
      <x:c r="B39" s="6" t="s">
        <x:v>67</x:v>
      </x:c>
      <x:c r="C39" s="7">
        <x:v>85</x:v>
      </x:c>
      <x:c r="D39" s="7">
        <x:v>4203</x:v>
      </x:c>
      <x:c r="E39" s="7" t="s">
        <x:v>47</x:v>
      </x:c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  <x:c r="P39" s="22"/>
      <x:c r="Q39" s="41">
        <x:f t="shared" si="1"/>
      </x:c>
      <x:c r="R39" s="44"/>
      <x:c r="S39" s="44"/>
      <x:c r="T39" s="50" t="n">
        <x:f>SUM(F39:S39)</x:f>
        <x:v>0</x:v>
      </x:c>
    </x:row>
    <x:row r="40">
      <x:c r="A40" s="11" t="s">
        <x:v>22</x:v>
      </x:c>
      <x:c r="B40" s="10" t="s">
        <x:v>67</x:v>
      </x:c>
      <x:c r="C40" s="11">
        <x:v>89</x:v>
      </x:c>
      <x:c r="D40" s="11">
        <x:v>4203</x:v>
      </x:c>
      <x:c r="E40" s="11" t="s">
        <x:v>47</x:v>
      </x:c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  <x:c r="P40" s="22"/>
      <x:c r="Q40" s="41">
        <x:f t="shared" si="1"/>
      </x:c>
      <x:c r="R40" s="44"/>
      <x:c r="S40" s="44"/>
      <x:c r="T40" s="50" t="n">
        <x:f>SUM(F40:S40)</x:f>
        <x:v>0</x:v>
      </x:c>
    </x:row>
    <x:row r="41">
      <x:c r="A41" s="7" t="s">
        <x:v>22</x:v>
      </x:c>
      <x:c r="B41" s="6" t="s">
        <x:v>67</x:v>
      </x:c>
      <x:c r="C41" s="7">
        <x:v>91</x:v>
      </x:c>
      <x:c r="D41" s="7">
        <x:v>4203</x:v>
      </x:c>
      <x:c r="E41" s="7" t="s">
        <x:v>47</x:v>
      </x:c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  <x:c r="P41" s="22"/>
      <x:c r="Q41" s="41">
        <x:f t="shared" si="1"/>
      </x:c>
      <x:c r="R41" s="44"/>
      <x:c r="S41" s="44"/>
      <x:c r="T41" s="50" t="n">
        <x:f>SUM(F41:S41)</x:f>
        <x:v>0</x:v>
      </x:c>
    </x:row>
    <x:row r="42">
      <x:c r="A42" s="11" t="s">
        <x:v>22</x:v>
      </x:c>
      <x:c r="B42" s="10" t="s">
        <x:v>67</x:v>
      </x:c>
      <x:c r="C42" s="11">
        <x:v>95</x:v>
      </x:c>
      <x:c r="D42" s="11">
        <x:v>4203</x:v>
      </x:c>
      <x:c r="E42" s="11" t="s">
        <x:v>47</x:v>
      </x:c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  <x:c r="P42" s="22"/>
      <x:c r="Q42" s="41">
        <x:f t="shared" si="1"/>
      </x:c>
      <x:c r="R42" s="44"/>
      <x:c r="S42" s="44"/>
      <x:c r="T42" s="50" t="n">
        <x:f>SUM(F42:S42)</x:f>
        <x:v>0</x:v>
      </x:c>
    </x:row>
    <x:row r="43">
      <x:c r="A43" s="7" t="s">
        <x:v>22</x:v>
      </x:c>
      <x:c r="B43" s="6" t="s">
        <x:v>67</x:v>
      </x:c>
      <x:c r="C43" s="7">
        <x:v>101</x:v>
      </x:c>
      <x:c r="D43" s="7">
        <x:v>4203</x:v>
      </x:c>
      <x:c r="E43" s="7" t="s">
        <x:v>47</x:v>
      </x:c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41">
        <x:f t="shared" si="1"/>
      </x:c>
      <x:c r="R43" s="44"/>
      <x:c r="S43" s="44"/>
      <x:c r="T43" s="50" t="n">
        <x:f>SUM(F43:S43)</x:f>
        <x:v>0</x:v>
      </x:c>
    </x:row>
    <x:row r="44">
      <x:c r="A44" s="11" t="s">
        <x:v>22</x:v>
      </x:c>
      <x:c r="B44" s="10" t="s">
        <x:v>68</x:v>
      </x:c>
      <x:c r="C44" s="11">
        <x:v>65</x:v>
      </x:c>
      <x:c r="D44" s="11">
        <x:v>1080</x:v>
      </x:c>
      <x:c r="E44" s="11" t="s">
        <x:v>47</x:v>
      </x:c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41">
        <x:f t="shared" si="1"/>
      </x:c>
      <x:c r="R44" s="44"/>
      <x:c r="S44" s="44"/>
      <x:c r="T44" s="50" t="n">
        <x:f>SUM(F44:S44)</x:f>
        <x:v>0</x:v>
      </x:c>
    </x:row>
    <x:row r="45">
      <x:c r="A45" s="7" t="s">
        <x:v>22</x:v>
      </x:c>
      <x:c r="B45" s="6" t="s">
        <x:v>68</x:v>
      </x:c>
      <x:c r="C45" s="7">
        <x:v>92</x:v>
      </x:c>
      <x:c r="D45" s="7">
        <x:v>1080</x:v>
      </x:c>
      <x:c r="E45" s="7" t="s">
        <x:v>47</x:v>
      </x:c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41">
        <x:f t="shared" si="1"/>
      </x:c>
      <x:c r="R45" s="44"/>
      <x:c r="S45" s="44"/>
      <x:c r="T45" s="50" t="n">
        <x:f>SUM(F45:S45)</x:f>
        <x:v>0</x:v>
      </x:c>
    </x:row>
    <x:row r="46">
      <x:c r="A46" s="11" t="s">
        <x:v>22</x:v>
      </x:c>
      <x:c r="B46" s="10" t="s">
        <x:v>68</x:v>
      </x:c>
      <x:c r="C46" s="11">
        <x:v>127</x:v>
      </x:c>
      <x:c r="D46" s="11">
        <x:v>1080</x:v>
      </x:c>
      <x:c r="E46" s="11" t="s">
        <x:v>47</x:v>
      </x:c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41">
        <x:f t="shared" si="1"/>
      </x:c>
      <x:c r="R46" s="44"/>
      <x:c r="S46" s="44"/>
      <x:c r="T46" s="50" t="n">
        <x:f>SUM(F46:S46)</x:f>
        <x:v>0</x:v>
      </x:c>
    </x:row>
    <x:row r="47">
      <x:c r="A47" s="7" t="s">
        <x:v>22</x:v>
      </x:c>
      <x:c r="B47" s="6" t="s">
        <x:v>68</x:v>
      </x:c>
      <x:c r="C47" s="7">
        <x:v>131</x:v>
      </x:c>
      <x:c r="D47" s="7">
        <x:v>1080</x:v>
      </x:c>
      <x:c r="E47" s="7" t="s">
        <x:v>47</x:v>
      </x:c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41">
        <x:f t="shared" si="1"/>
      </x:c>
      <x:c r="R47" s="44"/>
      <x:c r="S47" s="44"/>
      <x:c r="T47" s="50" t="n">
        <x:f>SUM(F47:S47)</x:f>
        <x:v>0</x:v>
      </x:c>
    </x:row>
    <x:row r="48">
      <x:c r="A48" s="11" t="s">
        <x:v>22</x:v>
      </x:c>
      <x:c r="B48" s="10" t="s">
        <x:v>69</x:v>
      </x:c>
      <x:c r="C48" s="11">
        <x:v>20</x:v>
      </x:c>
      <x:c r="D48" s="11">
        <x:v>1968</x:v>
      </x:c>
      <x:c r="E48" s="11" t="s">
        <x:v>47</x:v>
      </x:c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41">
        <x:f t="shared" si="1"/>
      </x:c>
      <x:c r="R48" s="44"/>
      <x:c r="S48" s="44"/>
      <x:c r="T48" s="50" t="n">
        <x:f>SUM(F48:S48)</x:f>
        <x:v>0</x:v>
      </x:c>
    </x:row>
    <x:row r="49">
      <x:c r="A49" s="7" t="s">
        <x:v>22</x:v>
      </x:c>
      <x:c r="B49" s="6" t="s">
        <x:v>69</x:v>
      </x:c>
      <x:c r="C49" s="7">
        <x:v>29</x:v>
      </x:c>
      <x:c r="D49" s="7">
        <x:v>1968</x:v>
      </x:c>
      <x:c r="E49" s="7" t="s">
        <x:v>47</x:v>
      </x:c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41">
        <x:f t="shared" si="1"/>
      </x:c>
      <x:c r="R49" s="44"/>
      <x:c r="S49" s="44"/>
      <x:c r="T49" s="50" t="n">
        <x:f>SUM(F49:S49)</x:f>
        <x:v>0</x:v>
      </x:c>
    </x:row>
    <x:row r="50">
      <x:c r="A50" s="11" t="s">
        <x:v>22</x:v>
      </x:c>
      <x:c r="B50" s="10" t="s">
        <x:v>69</x:v>
      </x:c>
      <x:c r="C50" s="11">
        <x:v>30</x:v>
      </x:c>
      <x:c r="D50" s="11">
        <x:v>1968</x:v>
      </x:c>
      <x:c r="E50" s="11" t="s">
        <x:v>47</x:v>
      </x:c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41">
        <x:f t="shared" si="1"/>
      </x:c>
      <x:c r="R50" s="44"/>
      <x:c r="S50" s="44"/>
      <x:c r="T50" s="50" t="n">
        <x:f>SUM(F50:S50)</x:f>
        <x:v>0</x:v>
      </x:c>
    </x:row>
    <x:row r="51">
      <x:c r="A51" s="7" t="s">
        <x:v>22</x:v>
      </x:c>
      <x:c r="B51" s="6" t="s">
        <x:v>69</x:v>
      </x:c>
      <x:c r="C51" s="7">
        <x:v>31</x:v>
      </x:c>
      <x:c r="D51" s="7">
        <x:v>1968</x:v>
      </x:c>
      <x:c r="E51" s="7" t="s">
        <x:v>47</x:v>
      </x:c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2"/>
      <x:c r="Q51" s="41">
        <x:f t="shared" si="1"/>
      </x:c>
      <x:c r="R51" s="44"/>
      <x:c r="S51" s="44"/>
      <x:c r="T51" s="50" t="n">
        <x:f>SUM(F51:S51)</x:f>
        <x:v>0</x:v>
      </x:c>
    </x:row>
    <x:row r="52">
      <x:c r="A52" s="11" t="s">
        <x:v>22</x:v>
      </x:c>
      <x:c r="B52" s="10" t="s">
        <x:v>69</x:v>
      </x:c>
      <x:c r="C52" s="11">
        <x:v>32</x:v>
      </x:c>
      <x:c r="D52" s="11">
        <x:v>1968</x:v>
      </x:c>
      <x:c r="E52" s="11" t="s">
        <x:v>47</x:v>
      </x:c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  <x:c r="P52" s="22"/>
      <x:c r="Q52" s="41">
        <x:f t="shared" si="1"/>
      </x:c>
      <x:c r="R52" s="44"/>
      <x:c r="S52" s="44"/>
      <x:c r="T52" s="50" t="n">
        <x:f>SUM(F52:S52)</x:f>
        <x:v>0</x:v>
      </x:c>
    </x:row>
    <x:row r="53">
      <x:c r="A53" s="7" t="s">
        <x:v>22</x:v>
      </x:c>
      <x:c r="B53" s="6" t="s">
        <x:v>69</x:v>
      </x:c>
      <x:c r="C53" s="7">
        <x:v>62</x:v>
      </x:c>
      <x:c r="D53" s="7">
        <x:v>1968</x:v>
      </x:c>
      <x:c r="E53" s="7" t="s">
        <x:v>47</x:v>
      </x:c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  <x:c r="P53" s="22"/>
      <x:c r="Q53" s="41">
        <x:f t="shared" si="1"/>
      </x:c>
      <x:c r="R53" s="44"/>
      <x:c r="S53" s="44"/>
      <x:c r="T53" s="50" t="n">
        <x:f>SUM(F53:S53)</x:f>
        <x:v>0</x:v>
      </x:c>
    </x:row>
    <x:row r="54">
      <x:c r="A54" s="11" t="s">
        <x:v>22</x:v>
      </x:c>
      <x:c r="B54" s="10" t="s">
        <x:v>69</x:v>
      </x:c>
      <x:c r="C54" s="11">
        <x:v>86</x:v>
      </x:c>
      <x:c r="D54" s="11">
        <x:v>1968</x:v>
      </x:c>
      <x:c r="E54" s="11" t="s">
        <x:v>47</x:v>
      </x:c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41">
        <x:f t="shared" si="1"/>
      </x:c>
      <x:c r="R54" s="44"/>
      <x:c r="S54" s="44"/>
      <x:c r="T54" s="50" t="n">
        <x:f>SUM(F54:S54)</x:f>
        <x:v>0</x:v>
      </x:c>
    </x:row>
    <x:row r="55">
      <x:c r="A55" s="7" t="s">
        <x:v>22</x:v>
      </x:c>
      <x:c r="B55" s="6" t="s">
        <x:v>69</x:v>
      </x:c>
      <x:c r="C55" s="7">
        <x:v>88</x:v>
      </x:c>
      <x:c r="D55" s="7">
        <x:v>1968</x:v>
      </x:c>
      <x:c r="E55" s="7" t="s">
        <x:v>47</x:v>
      </x:c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41">
        <x:f t="shared" si="1"/>
      </x:c>
      <x:c r="R55" s="44"/>
      <x:c r="S55" s="44"/>
      <x:c r="T55" s="50" t="n">
        <x:f>SUM(F55:S55)</x:f>
        <x:v>0</x:v>
      </x:c>
    </x:row>
  </x:sheetData>
  <x:mergeCells>
    <x:mergeCell ref="A1:T1"/>
    <x:mergeCell ref="A2:T2"/>
  </x:mergeCells>
  <x:dataValidations count="1">
    <x:dataValidation type="list" allowBlank="1" sqref="E4:E55">
      <x:formula1>"Pendente,Apurada"</x:formula1>
      <x:formula2>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ColWidth="8.6640625" defaultRowHeight="14.399999618530273"/>
  <x:cols>
    <x:col min="1" max="1" width="7" customWidth="1"/>
    <x:col min="2" max="2" width="44" customWidth="1"/>
    <x:col min="3" max="3" width="8" customWidth="1"/>
    <x:col min="4" max="4" width="13" customWidth="1"/>
    <x:col min="5" max="5" width="11" customWidth="1"/>
    <x:col min="6" max="16" width="16" customWidth="1"/>
    <x:col min="17" max="17" width="13.75" hidden="0" customWidth="1"/>
    <x:col min="18" max="18" width="13.75" hidden="0" customWidth="1"/>
    <x:col min="19" max="19" width="13.75" hidden="0" customWidth="1"/>
    <x:col min="20" max="20" width="13.75" hidden="0" customWidth="1"/>
  </x:cols>
  <x:sheetData>
    <x:row r="1" ht="25.5" customHeight="1">
      <x:c r="A1" s="23" t="s">
        <x:v>70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</x:row>
    <x:row r="2" ht="25.5" customHeight="1">
      <x:c r="A2" s="30" t="s">
        <x:v>38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</x:row>
    <x:row r="3" ht="57.75" customHeight="1">
      <x:c r="A3" s="1" t="s">
        <x:v>3</x:v>
      </x:c>
      <x:c r="B3" s="1" t="s">
        <x:v>42</x:v>
      </x:c>
      <x:c r="C3" s="1" t="s">
        <x:v>43</x:v>
      </x:c>
      <x:c r="D3" s="1" t="s">
        <x:v>44</x:v>
      </x:c>
      <x:c r="E3" s="1" t="s">
        <x:v>45</x:v>
      </x:c>
      <x:c r="F3" s="1" t="s">
        <x:v>8</x:v>
      </x:c>
      <x:c r="G3" s="1" t="s">
        <x:v>9</x:v>
      </x:c>
      <x:c r="H3" s="1" t="s">
        <x:v>10</x:v>
      </x:c>
      <x:c r="I3" s="1" t="s">
        <x:v>11</x:v>
      </x:c>
      <x:c r="J3" s="1" t="s">
        <x:v>12</x:v>
      </x:c>
      <x:c r="K3" s="1" t="s">
        <x:v>13</x:v>
      </x:c>
      <x:c r="L3" s="1" t="s">
        <x:v>14</x:v>
      </x:c>
      <x:c r="M3" s="1" t="s">
        <x:v>15</x:v>
      </x:c>
      <x:c r="N3" s="1" t="s">
        <x:v>16</x:v>
      </x:c>
      <x:c r="O3" s="1" t="s">
        <x:v>17</x:v>
      </x:c>
      <x:c r="P3" s="1" t="s">
        <x:v>18</x:v>
      </x:c>
      <x:c r="Q3" s="31" t="str">
        <x:v>Dep. Federal
Wellington Roberto</x:v>
      </x:c>
      <x:c r="R3" s="31" t="str">
        <x:v>Dep. Federal
Wilson Santiago</x:v>
      </x:c>
      <x:c r="S3" s="31" t="str">
        <x:v>Dep. Federal
Aguinaldo Ribeiro</x:v>
      </x:c>
      <x:c r="T3" s="31" t="str">
        <x:v>Total lançado
(14 candidatos)</x:v>
      </x:c>
    </x:row>
    <x:row r="4">
      <x:c r="A4" s="11" t="s">
        <x:v>20</x:v>
      </x:c>
      <x:c r="B4" s="10" t="s">
        <x:v>71</x:v>
      </x:c>
      <x:c r="C4" s="11">
        <x:v>11</x:v>
      </x:c>
      <x:c r="D4" s="11">
        <x:v>394</x:v>
      </x:c>
      <x:c r="E4" s="11" t="s">
        <x:v>47</x:v>
      </x:c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41">
        <x:f t="shared" ref="Q4:Q22" si="0">SUM(F4:P4)</x:f>
      </x:c>
      <x:c r="R4" s="44"/>
      <x:c r="S4" s="44"/>
      <x:c r="T4" s="50" t="n">
        <x:f>SUM(F4:S4)</x:f>
        <x:v>0</x:v>
      </x:c>
    </x:row>
    <x:row r="5">
      <x:c r="A5" s="7" t="s">
        <x:v>20</x:v>
      </x:c>
      <x:c r="B5" s="6" t="s">
        <x:v>71</x:v>
      </x:c>
      <x:c r="C5" s="7">
        <x:v>203</x:v>
      </x:c>
      <x:c r="D5" s="7">
        <x:v>394</x:v>
      </x:c>
      <x:c r="E5" s="7" t="s">
        <x:v>47</x:v>
      </x:c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41">
        <x:f t="shared" si="0"/>
      </x:c>
      <x:c r="R5" s="44"/>
      <x:c r="S5" s="44"/>
      <x:c r="T5" s="50" t="n">
        <x:f>SUM(F5:S5)</x:f>
        <x:v>0</x:v>
      </x:c>
    </x:row>
    <x:row r="6">
      <x:c r="A6" s="11" t="s">
        <x:v>20</x:v>
      </x:c>
      <x:c r="B6" s="10" t="s">
        <x:v>72</x:v>
      </x:c>
      <x:c r="C6" s="11">
        <x:v>1</x:v>
      </x:c>
      <x:c r="D6" s="11">
        <x:v>3446</x:v>
      </x:c>
      <x:c r="E6" s="11" t="s">
        <x:v>47</x:v>
      </x:c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41">
        <x:f t="shared" si="0"/>
      </x:c>
      <x:c r="R6" s="44"/>
      <x:c r="S6" s="44"/>
      <x:c r="T6" s="50" t="n">
        <x:f>SUM(F6:S6)</x:f>
        <x:v>0</x:v>
      </x:c>
    </x:row>
    <x:row r="7">
      <x:c r="A7" s="7" t="s">
        <x:v>20</x:v>
      </x:c>
      <x:c r="B7" s="6" t="s">
        <x:v>72</x:v>
      </x:c>
      <x:c r="C7" s="7">
        <x:v>2</x:v>
      </x:c>
      <x:c r="D7" s="7">
        <x:v>3446</x:v>
      </x:c>
      <x:c r="E7" s="7" t="s">
        <x:v>47</x:v>
      </x:c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41">
        <x:f t="shared" si="0"/>
      </x:c>
      <x:c r="R7" s="44"/>
      <x:c r="S7" s="44"/>
      <x:c r="T7" s="50" t="n">
        <x:f>SUM(F7:S7)</x:f>
        <x:v>0</x:v>
      </x:c>
    </x:row>
    <x:row r="8">
      <x:c r="A8" s="11" t="s">
        <x:v>20</x:v>
      </x:c>
      <x:c r="B8" s="10" t="s">
        <x:v>72</x:v>
      </x:c>
      <x:c r="C8" s="11">
        <x:v>3</x:v>
      </x:c>
      <x:c r="D8" s="11">
        <x:v>3446</x:v>
      </x:c>
      <x:c r="E8" s="11" t="s">
        <x:v>47</x:v>
      </x:c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41">
        <x:f t="shared" si="0"/>
      </x:c>
      <x:c r="R8" s="44"/>
      <x:c r="S8" s="44"/>
      <x:c r="T8" s="50" t="n">
        <x:f>SUM(F8:S8)</x:f>
        <x:v>0</x:v>
      </x:c>
    </x:row>
    <x:row r="9">
      <x:c r="A9" s="7" t="s">
        <x:v>20</x:v>
      </x:c>
      <x:c r="B9" s="6" t="s">
        <x:v>72</x:v>
      </x:c>
      <x:c r="C9" s="7">
        <x:v>4</x:v>
      </x:c>
      <x:c r="D9" s="7">
        <x:v>3446</x:v>
      </x:c>
      <x:c r="E9" s="7" t="s">
        <x:v>47</x:v>
      </x:c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41">
        <x:f t="shared" si="0"/>
      </x:c>
      <x:c r="R9" s="44"/>
      <x:c r="S9" s="44"/>
      <x:c r="T9" s="50" t="n">
        <x:f>SUM(F9:S9)</x:f>
        <x:v>0</x:v>
      </x:c>
    </x:row>
    <x:row r="10">
      <x:c r="A10" s="11" t="s">
        <x:v>20</x:v>
      </x:c>
      <x:c r="B10" s="10" t="s">
        <x:v>72</x:v>
      </x:c>
      <x:c r="C10" s="11">
        <x:v>6</x:v>
      </x:c>
      <x:c r="D10" s="11">
        <x:v>3446</x:v>
      </x:c>
      <x:c r="E10" s="11" t="s">
        <x:v>47</x:v>
      </x:c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41">
        <x:f t="shared" si="0"/>
      </x:c>
      <x:c r="R10" s="44"/>
      <x:c r="S10" s="44"/>
      <x:c r="T10" s="50" t="n">
        <x:f>SUM(F10:S10)</x:f>
        <x:v>0</x:v>
      </x:c>
    </x:row>
    <x:row r="11">
      <x:c r="A11" s="7" t="s">
        <x:v>20</x:v>
      </x:c>
      <x:c r="B11" s="6" t="s">
        <x:v>72</x:v>
      </x:c>
      <x:c r="C11" s="7">
        <x:v>9</x:v>
      </x:c>
      <x:c r="D11" s="7">
        <x:v>3446</x:v>
      </x:c>
      <x:c r="E11" s="7" t="s">
        <x:v>47</x:v>
      </x:c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41">
        <x:f t="shared" si="0"/>
      </x:c>
      <x:c r="R11" s="44"/>
      <x:c r="S11" s="44"/>
      <x:c r="T11" s="50" t="n">
        <x:f>SUM(F11:S11)</x:f>
        <x:v>0</x:v>
      </x:c>
    </x:row>
    <x:row r="12">
      <x:c r="A12" s="11" t="s">
        <x:v>20</x:v>
      </x:c>
      <x:c r="B12" s="10" t="s">
        <x:v>72</x:v>
      </x:c>
      <x:c r="C12" s="11">
        <x:v>10</x:v>
      </x:c>
      <x:c r="D12" s="11">
        <x:v>3446</x:v>
      </x:c>
      <x:c r="E12" s="11" t="s">
        <x:v>47</x:v>
      </x:c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41">
        <x:f t="shared" si="0"/>
      </x:c>
      <x:c r="R12" s="44"/>
      <x:c r="S12" s="44"/>
      <x:c r="T12" s="50" t="n">
        <x:f>SUM(F12:S12)</x:f>
        <x:v>0</x:v>
      </x:c>
    </x:row>
    <x:row r="13">
      <x:c r="A13" s="7" t="s">
        <x:v>20</x:v>
      </x:c>
      <x:c r="B13" s="6" t="s">
        <x:v>72</x:v>
      </x:c>
      <x:c r="C13" s="7">
        <x:v>195</x:v>
      </x:c>
      <x:c r="D13" s="7">
        <x:v>3446</x:v>
      </x:c>
      <x:c r="E13" s="7" t="s">
        <x:v>47</x:v>
      </x:c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41">
        <x:f t="shared" si="0"/>
      </x:c>
      <x:c r="R13" s="44"/>
      <x:c r="S13" s="44"/>
      <x:c r="T13" s="50" t="n">
        <x:f>SUM(F13:S13)</x:f>
        <x:v>0</x:v>
      </x:c>
    </x:row>
    <x:row r="14">
      <x:c r="A14" s="11" t="s">
        <x:v>20</x:v>
      </x:c>
      <x:c r="B14" s="10" t="s">
        <x:v>72</x:v>
      </x:c>
      <x:c r="C14" s="11">
        <x:v>210</x:v>
      </x:c>
      <x:c r="D14" s="11">
        <x:v>3446</x:v>
      </x:c>
      <x:c r="E14" s="11" t="s">
        <x:v>47</x:v>
      </x:c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41">
        <x:f t="shared" si="0"/>
      </x:c>
      <x:c r="R14" s="44"/>
      <x:c r="S14" s="44"/>
      <x:c r="T14" s="50" t="n">
        <x:f>SUM(F14:S14)</x:f>
        <x:v>0</x:v>
      </x:c>
    </x:row>
    <x:row r="15">
      <x:c r="A15" s="7" t="s">
        <x:v>20</x:v>
      </x:c>
      <x:c r="B15" s="6" t="s">
        <x:v>73</x:v>
      </x:c>
      <x:c r="C15" s="7">
        <x:v>7</x:v>
      </x:c>
      <x:c r="D15" s="7">
        <x:v>2454</x:v>
      </x:c>
      <x:c r="E15" s="7" t="s">
        <x:v>47</x:v>
      </x:c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41">
        <x:f t="shared" si="0"/>
      </x:c>
      <x:c r="R15" s="44"/>
      <x:c r="S15" s="44"/>
      <x:c r="T15" s="50" t="n">
        <x:f>SUM(F15:S15)</x:f>
        <x:v>0</x:v>
      </x:c>
    </x:row>
    <x:row r="16">
      <x:c r="A16" s="11" t="s">
        <x:v>20</x:v>
      </x:c>
      <x:c r="B16" s="10" t="s">
        <x:v>73</x:v>
      </x:c>
      <x:c r="C16" s="11">
        <x:v>8</x:v>
      </x:c>
      <x:c r="D16" s="11">
        <x:v>2454</x:v>
      </x:c>
      <x:c r="E16" s="11" t="s">
        <x:v>47</x:v>
      </x:c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41">
        <x:f t="shared" si="0"/>
      </x:c>
      <x:c r="R16" s="44"/>
      <x:c r="S16" s="44"/>
      <x:c r="T16" s="50" t="n">
        <x:f>SUM(F16:S16)</x:f>
        <x:v>0</x:v>
      </x:c>
    </x:row>
    <x:row r="17">
      <x:c r="A17" s="7" t="s">
        <x:v>20</x:v>
      </x:c>
      <x:c r="B17" s="6" t="s">
        <x:v>73</x:v>
      </x:c>
      <x:c r="C17" s="7">
        <x:v>13</x:v>
      </x:c>
      <x:c r="D17" s="7">
        <x:v>2454</x:v>
      </x:c>
      <x:c r="E17" s="7" t="s">
        <x:v>47</x:v>
      </x:c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41">
        <x:f t="shared" si="0"/>
      </x:c>
      <x:c r="R17" s="44"/>
      <x:c r="S17" s="44"/>
      <x:c r="T17" s="50" t="n">
        <x:f>SUM(F17:S17)</x:f>
        <x:v>0</x:v>
      </x:c>
    </x:row>
    <x:row r="18">
      <x:c r="A18" s="11" t="s">
        <x:v>20</x:v>
      </x:c>
      <x:c r="B18" s="10" t="s">
        <x:v>73</x:v>
      </x:c>
      <x:c r="C18" s="11">
        <x:v>14</x:v>
      </x:c>
      <x:c r="D18" s="11">
        <x:v>2454</x:v>
      </x:c>
      <x:c r="E18" s="11" t="s">
        <x:v>47</x:v>
      </x:c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41">
        <x:f t="shared" si="0"/>
      </x:c>
      <x:c r="R18" s="44"/>
      <x:c r="S18" s="44"/>
      <x:c r="T18" s="50" t="n">
        <x:f>SUM(F18:S18)</x:f>
        <x:v>0</x:v>
      </x:c>
    </x:row>
    <x:row r="19">
      <x:c r="A19" s="7" t="s">
        <x:v>20</x:v>
      </x:c>
      <x:c r="B19" s="6" t="s">
        <x:v>73</x:v>
      </x:c>
      <x:c r="C19" s="7">
        <x:v>143</x:v>
      </x:c>
      <x:c r="D19" s="7">
        <x:v>2454</x:v>
      </x:c>
      <x:c r="E19" s="7" t="s">
        <x:v>47</x:v>
      </x:c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41">
        <x:f t="shared" si="0"/>
      </x:c>
      <x:c r="R19" s="44"/>
      <x:c r="S19" s="44"/>
      <x:c r="T19" s="50" t="n">
        <x:f>SUM(F19:S19)</x:f>
        <x:v>0</x:v>
      </x:c>
    </x:row>
    <x:row r="20">
      <x:c r="A20" s="11" t="s">
        <x:v>20</x:v>
      </x:c>
      <x:c r="B20" s="10" t="s">
        <x:v>73</x:v>
      </x:c>
      <x:c r="C20" s="11">
        <x:v>173</x:v>
      </x:c>
      <x:c r="D20" s="11">
        <x:v>2454</x:v>
      </x:c>
      <x:c r="E20" s="11" t="s">
        <x:v>47</x:v>
      </x:c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41">
        <x:f t="shared" si="0"/>
      </x:c>
      <x:c r="R20" s="44"/>
      <x:c r="S20" s="44"/>
      <x:c r="T20" s="50" t="n">
        <x:f>SUM(F20:S20)</x:f>
        <x:v>0</x:v>
      </x:c>
    </x:row>
    <x:row r="21">
      <x:c r="A21" s="7" t="s">
        <x:v>20</x:v>
      </x:c>
      <x:c r="B21" s="6" t="s">
        <x:v>73</x:v>
      </x:c>
      <x:c r="C21" s="7">
        <x:v>175</x:v>
      </x:c>
      <x:c r="D21" s="7">
        <x:v>2454</x:v>
      </x:c>
      <x:c r="E21" s="7" t="s">
        <x:v>47</x:v>
      </x:c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41">
        <x:f t="shared" si="0"/>
      </x:c>
      <x:c r="R21" s="44"/>
      <x:c r="S21" s="44"/>
      <x:c r="T21" s="50" t="n">
        <x:f>SUM(F21:S21)</x:f>
        <x:v>0</x:v>
      </x:c>
    </x:row>
    <x:row r="22">
      <x:c r="A22" s="11" t="s">
        <x:v>20</x:v>
      </x:c>
      <x:c r="B22" s="10" t="s">
        <x:v>73</x:v>
      </x:c>
      <x:c r="C22" s="11">
        <x:v>214</x:v>
      </x:c>
      <x:c r="D22" s="11">
        <x:v>2454</x:v>
      </x:c>
      <x:c r="E22" s="11" t="s">
        <x:v>47</x:v>
      </x:c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41">
        <x:f t="shared" si="0"/>
      </x:c>
      <x:c r="R22" s="44"/>
      <x:c r="S22" s="44"/>
      <x:c r="T22" s="50" t="n">
        <x:f>SUM(F22:S22)</x:f>
        <x:v>0</x:v>
      </x:c>
    </x:row>
  </x:sheetData>
  <x:mergeCells>
    <x:mergeCell ref="A1:T1"/>
    <x:mergeCell ref="A2:T2"/>
  </x:mergeCells>
  <x:dataValidations count="1">
    <x:dataValidation type="list" allowBlank="1" sqref="E4:E22">
      <x:formula1>"Pendente,Apurada"</x:formula1>
      <x:formula2>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ColWidth="8.6640625" defaultRowHeight="14.399999618530273"/>
  <x:cols>
    <x:col min="1" max="1" width="7" customWidth="1"/>
    <x:col min="2" max="2" width="44" customWidth="1"/>
    <x:col min="3" max="3" width="8" customWidth="1"/>
    <x:col min="4" max="4" width="13" customWidth="1"/>
    <x:col min="5" max="5" width="11" customWidth="1"/>
    <x:col min="6" max="16" width="16" customWidth="1"/>
    <x:col min="17" max="17" width="13.75" hidden="0" customWidth="1"/>
    <x:col min="18" max="18" width="13.75" hidden="0" customWidth="1"/>
    <x:col min="19" max="19" width="13.75" hidden="0" customWidth="1"/>
    <x:col min="20" max="20" width="13.75" hidden="0" customWidth="1"/>
  </x:cols>
  <x:sheetData>
    <x:row r="1" ht="25.5" customHeight="1">
      <x:c r="A1" s="23" t="s">
        <x:v>74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</x:row>
    <x:row r="2" ht="25.5" customHeight="1">
      <x:c r="A2" s="30" t="s">
        <x:v>38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</x:row>
    <x:row r="3" ht="57.75" customHeight="1">
      <x:c r="A3" s="1" t="s">
        <x:v>3</x:v>
      </x:c>
      <x:c r="B3" s="1" t="s">
        <x:v>42</x:v>
      </x:c>
      <x:c r="C3" s="1" t="s">
        <x:v>43</x:v>
      </x:c>
      <x:c r="D3" s="1" t="s">
        <x:v>44</x:v>
      </x:c>
      <x:c r="E3" s="1" t="s">
        <x:v>45</x:v>
      </x:c>
      <x:c r="F3" s="1" t="s">
        <x:v>8</x:v>
      </x:c>
      <x:c r="G3" s="1" t="s">
        <x:v>9</x:v>
      </x:c>
      <x:c r="H3" s="1" t="s">
        <x:v>10</x:v>
      </x:c>
      <x:c r="I3" s="1" t="s">
        <x:v>11</x:v>
      </x:c>
      <x:c r="J3" s="1" t="s">
        <x:v>12</x:v>
      </x:c>
      <x:c r="K3" s="1" t="s">
        <x:v>13</x:v>
      </x:c>
      <x:c r="L3" s="1" t="s">
        <x:v>14</x:v>
      </x:c>
      <x:c r="M3" s="1" t="s">
        <x:v>15</x:v>
      </x:c>
      <x:c r="N3" s="1" t="s">
        <x:v>16</x:v>
      </x:c>
      <x:c r="O3" s="1" t="s">
        <x:v>17</x:v>
      </x:c>
      <x:c r="P3" s="1" t="s">
        <x:v>18</x:v>
      </x:c>
      <x:c r="Q3" s="31" t="str">
        <x:v>Dep. Federal
Wellington Roberto</x:v>
      </x:c>
      <x:c r="R3" s="31" t="str">
        <x:v>Dep. Federal
Wilson Santiago</x:v>
      </x:c>
      <x:c r="S3" s="31" t="str">
        <x:v>Dep. Federal
Aguinaldo Ribeiro</x:v>
      </x:c>
      <x:c r="T3" s="31" t="str">
        <x:v>Total lançado
(14 candidatos)</x:v>
      </x:c>
    </x:row>
    <x:row r="4">
      <x:c r="A4" s="11" t="s">
        <x:v>22</x:v>
      </x:c>
      <x:c r="B4" s="10" t="s">
        <x:v>75</x:v>
      </x:c>
      <x:c r="C4" s="11">
        <x:v>71</x:v>
      </x:c>
      <x:c r="D4" s="11">
        <x:v>2679</x:v>
      </x:c>
      <x:c r="E4" s="11" t="s">
        <x:v>47</x:v>
      </x:c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41">
        <x:f t="shared" ref="Q4:Q19" si="0">SUM(F4:P4)</x:f>
      </x:c>
      <x:c r="R4" s="44"/>
      <x:c r="S4" s="44"/>
      <x:c r="T4" s="50" t="n">
        <x:f>SUM(F4:S4)</x:f>
        <x:v>0</x:v>
      </x:c>
    </x:row>
    <x:row r="5">
      <x:c r="A5" s="7" t="s">
        <x:v>22</x:v>
      </x:c>
      <x:c r="B5" s="6" t="s">
        <x:v>75</x:v>
      </x:c>
      <x:c r="C5" s="7">
        <x:v>72</x:v>
      </x:c>
      <x:c r="D5" s="7">
        <x:v>2679</x:v>
      </x:c>
      <x:c r="E5" s="7" t="s">
        <x:v>47</x:v>
      </x:c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41">
        <x:f t="shared" si="0"/>
      </x:c>
      <x:c r="R5" s="44"/>
      <x:c r="S5" s="44"/>
      <x:c r="T5" s="50" t="n">
        <x:f>SUM(F5:S5)</x:f>
        <x:v>0</x:v>
      </x:c>
    </x:row>
    <x:row r="6">
      <x:c r="A6" s="11" t="s">
        <x:v>22</x:v>
      </x:c>
      <x:c r="B6" s="10" t="s">
        <x:v>75</x:v>
      </x:c>
      <x:c r="C6" s="11">
        <x:v>73</x:v>
      </x:c>
      <x:c r="D6" s="11">
        <x:v>2679</x:v>
      </x:c>
      <x:c r="E6" s="11" t="s">
        <x:v>47</x:v>
      </x:c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41">
        <x:f t="shared" si="0"/>
      </x:c>
      <x:c r="R6" s="44"/>
      <x:c r="S6" s="44"/>
      <x:c r="T6" s="50" t="n">
        <x:f>SUM(F6:S6)</x:f>
        <x:v>0</x:v>
      </x:c>
    </x:row>
    <x:row r="7">
      <x:c r="A7" s="7" t="s">
        <x:v>22</x:v>
      </x:c>
      <x:c r="B7" s="6" t="s">
        <x:v>75</x:v>
      </x:c>
      <x:c r="C7" s="7">
        <x:v>74</x:v>
      </x:c>
      <x:c r="D7" s="7">
        <x:v>2679</x:v>
      </x:c>
      <x:c r="E7" s="7" t="s">
        <x:v>47</x:v>
      </x:c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41">
        <x:f t="shared" si="0"/>
      </x:c>
      <x:c r="R7" s="44"/>
      <x:c r="S7" s="44"/>
      <x:c r="T7" s="50" t="n">
        <x:f>SUM(F7:S7)</x:f>
        <x:v>0</x:v>
      </x:c>
    </x:row>
    <x:row r="8">
      <x:c r="A8" s="11" t="s">
        <x:v>22</x:v>
      </x:c>
      <x:c r="B8" s="10" t="s">
        <x:v>75</x:v>
      </x:c>
      <x:c r="C8" s="11">
        <x:v>75</x:v>
      </x:c>
      <x:c r="D8" s="11">
        <x:v>2679</x:v>
      </x:c>
      <x:c r="E8" s="11" t="s">
        <x:v>47</x:v>
      </x:c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41">
        <x:f t="shared" si="0"/>
      </x:c>
      <x:c r="R8" s="44"/>
      <x:c r="S8" s="44"/>
      <x:c r="T8" s="50" t="n">
        <x:f>SUM(F8:S8)</x:f>
        <x:v>0</x:v>
      </x:c>
    </x:row>
    <x:row r="9">
      <x:c r="A9" s="7" t="s">
        <x:v>22</x:v>
      </x:c>
      <x:c r="B9" s="6" t="s">
        <x:v>75</x:v>
      </x:c>
      <x:c r="C9" s="7">
        <x:v>76</x:v>
      </x:c>
      <x:c r="D9" s="7">
        <x:v>2679</x:v>
      </x:c>
      <x:c r="E9" s="7" t="s">
        <x:v>47</x:v>
      </x:c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41">
        <x:f t="shared" si="0"/>
      </x:c>
      <x:c r="R9" s="44"/>
      <x:c r="S9" s="44"/>
      <x:c r="T9" s="50" t="n">
        <x:f>SUM(F9:S9)</x:f>
        <x:v>0</x:v>
      </x:c>
    </x:row>
    <x:row r="10">
      <x:c r="A10" s="11" t="s">
        <x:v>22</x:v>
      </x:c>
      <x:c r="B10" s="10" t="s">
        <x:v>75</x:v>
      </x:c>
      <x:c r="C10" s="11">
        <x:v>82</x:v>
      </x:c>
      <x:c r="D10" s="11">
        <x:v>2679</x:v>
      </x:c>
      <x:c r="E10" s="11" t="s">
        <x:v>47</x:v>
      </x:c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41">
        <x:f t="shared" si="0"/>
      </x:c>
      <x:c r="R10" s="44"/>
      <x:c r="S10" s="44"/>
      <x:c r="T10" s="50" t="n">
        <x:f>SUM(F10:S10)</x:f>
        <x:v>0</x:v>
      </x:c>
    </x:row>
    <x:row r="11">
      <x:c r="A11" s="7" t="s">
        <x:v>22</x:v>
      </x:c>
      <x:c r="B11" s="6" t="s">
        <x:v>75</x:v>
      </x:c>
      <x:c r="C11" s="7">
        <x:v>83</x:v>
      </x:c>
      <x:c r="D11" s="7">
        <x:v>2679</x:v>
      </x:c>
      <x:c r="E11" s="7" t="s">
        <x:v>47</x:v>
      </x:c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41">
        <x:f t="shared" si="0"/>
      </x:c>
      <x:c r="R11" s="44"/>
      <x:c r="S11" s="44"/>
      <x:c r="T11" s="50" t="n">
        <x:f>SUM(F11:S11)</x:f>
        <x:v>0</x:v>
      </x:c>
    </x:row>
    <x:row r="12">
      <x:c r="A12" s="11" t="s">
        <x:v>22</x:v>
      </x:c>
      <x:c r="B12" s="10" t="s">
        <x:v>76</x:v>
      </x:c>
      <x:c r="C12" s="11">
        <x:v>77</x:v>
      </x:c>
      <x:c r="D12" s="11">
        <x:v>2709</x:v>
      </x:c>
      <x:c r="E12" s="11" t="s">
        <x:v>47</x:v>
      </x:c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41">
        <x:f t="shared" si="0"/>
      </x:c>
      <x:c r="R12" s="44"/>
      <x:c r="S12" s="44"/>
      <x:c r="T12" s="50" t="n">
        <x:f>SUM(F12:S12)</x:f>
        <x:v>0</x:v>
      </x:c>
    </x:row>
    <x:row r="13">
      <x:c r="A13" s="7" t="s">
        <x:v>22</x:v>
      </x:c>
      <x:c r="B13" s="6" t="s">
        <x:v>76</x:v>
      </x:c>
      <x:c r="C13" s="7">
        <x:v>78</x:v>
      </x:c>
      <x:c r="D13" s="7">
        <x:v>2709</x:v>
      </x:c>
      <x:c r="E13" s="7" t="s">
        <x:v>47</x:v>
      </x:c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41">
        <x:f t="shared" si="0"/>
      </x:c>
      <x:c r="R13" s="44"/>
      <x:c r="S13" s="44"/>
      <x:c r="T13" s="50" t="n">
        <x:f>SUM(F13:S13)</x:f>
        <x:v>0</x:v>
      </x:c>
    </x:row>
    <x:row r="14">
      <x:c r="A14" s="11" t="s">
        <x:v>22</x:v>
      </x:c>
      <x:c r="B14" s="10" t="s">
        <x:v>76</x:v>
      </x:c>
      <x:c r="C14" s="11">
        <x:v>79</x:v>
      </x:c>
      <x:c r="D14" s="11">
        <x:v>2709</x:v>
      </x:c>
      <x:c r="E14" s="11" t="s">
        <x:v>47</x:v>
      </x:c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41">
        <x:f t="shared" si="0"/>
      </x:c>
      <x:c r="R14" s="44"/>
      <x:c r="S14" s="44"/>
      <x:c r="T14" s="50" t="n">
        <x:f>SUM(F14:S14)</x:f>
        <x:v>0</x:v>
      </x:c>
    </x:row>
    <x:row r="15">
      <x:c r="A15" s="7" t="s">
        <x:v>22</x:v>
      </x:c>
      <x:c r="B15" s="6" t="s">
        <x:v>76</x:v>
      </x:c>
      <x:c r="C15" s="7">
        <x:v>80</x:v>
      </x:c>
      <x:c r="D15" s="7">
        <x:v>2709</x:v>
      </x:c>
      <x:c r="E15" s="7" t="s">
        <x:v>47</x:v>
      </x:c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41">
        <x:f t="shared" si="0"/>
      </x:c>
      <x:c r="R15" s="44"/>
      <x:c r="S15" s="44"/>
      <x:c r="T15" s="50" t="n">
        <x:f>SUM(F15:S15)</x:f>
        <x:v>0</x:v>
      </x:c>
    </x:row>
    <x:row r="16">
      <x:c r="A16" s="11" t="s">
        <x:v>22</x:v>
      </x:c>
      <x:c r="B16" s="10" t="s">
        <x:v>76</x:v>
      </x:c>
      <x:c r="C16" s="11">
        <x:v>81</x:v>
      </x:c>
      <x:c r="D16" s="11">
        <x:v>2709</x:v>
      </x:c>
      <x:c r="E16" s="11" t="s">
        <x:v>47</x:v>
      </x:c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41">
        <x:f t="shared" si="0"/>
      </x:c>
      <x:c r="R16" s="44"/>
      <x:c r="S16" s="44"/>
      <x:c r="T16" s="50" t="n">
        <x:f>SUM(F16:S16)</x:f>
        <x:v>0</x:v>
      </x:c>
    </x:row>
    <x:row r="17">
      <x:c r="A17" s="7" t="s">
        <x:v>22</x:v>
      </x:c>
      <x:c r="B17" s="6" t="s">
        <x:v>76</x:v>
      </x:c>
      <x:c r="C17" s="7">
        <x:v>93</x:v>
      </x:c>
      <x:c r="D17" s="7">
        <x:v>2709</x:v>
      </x:c>
      <x:c r="E17" s="7" t="s">
        <x:v>47</x:v>
      </x:c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41">
        <x:f t="shared" si="0"/>
      </x:c>
      <x:c r="R17" s="44"/>
      <x:c r="S17" s="44"/>
      <x:c r="T17" s="50" t="n">
        <x:f>SUM(F17:S17)</x:f>
        <x:v>0</x:v>
      </x:c>
    </x:row>
    <x:row r="18">
      <x:c r="A18" s="11" t="s">
        <x:v>22</x:v>
      </x:c>
      <x:c r="B18" s="10" t="s">
        <x:v>76</x:v>
      </x:c>
      <x:c r="C18" s="11">
        <x:v>96</x:v>
      </x:c>
      <x:c r="D18" s="11">
        <x:v>2709</x:v>
      </x:c>
      <x:c r="E18" s="11" t="s">
        <x:v>47</x:v>
      </x:c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41">
        <x:f t="shared" si="0"/>
      </x:c>
      <x:c r="R18" s="44"/>
      <x:c r="S18" s="44"/>
      <x:c r="T18" s="50" t="n">
        <x:f>SUM(F18:S18)</x:f>
        <x:v>0</x:v>
      </x:c>
    </x:row>
    <x:row r="19">
      <x:c r="A19" s="7" t="s">
        <x:v>22</x:v>
      </x:c>
      <x:c r="B19" s="6" t="s">
        <x:v>76</x:v>
      </x:c>
      <x:c r="C19" s="7">
        <x:v>100</x:v>
      </x:c>
      <x:c r="D19" s="7">
        <x:v>2709</x:v>
      </x:c>
      <x:c r="E19" s="7" t="s">
        <x:v>47</x:v>
      </x:c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41">
        <x:f t="shared" si="0"/>
      </x:c>
      <x:c r="R19" s="44"/>
      <x:c r="S19" s="44"/>
      <x:c r="T19" s="50" t="n">
        <x:f>SUM(F19:S19)</x:f>
        <x:v>0</x:v>
      </x:c>
    </x:row>
  </x:sheetData>
  <x:mergeCells>
    <x:mergeCell ref="A1:T1"/>
    <x:mergeCell ref="A2:T2"/>
  </x:mergeCells>
  <x:dataValidations count="1">
    <x:dataValidation type="list" allowBlank="1" sqref="E4:E19">
      <x:formula1>"Pendente,Apurada"</x:formula1>
      <x:formula2>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ColWidth="8.6640625" defaultRowHeight="14.399999618530273"/>
  <x:cols>
    <x:col min="1" max="1" width="7" customWidth="1"/>
    <x:col min="2" max="2" width="44" customWidth="1"/>
    <x:col min="3" max="3" width="8" customWidth="1"/>
    <x:col min="4" max="4" width="13" customWidth="1"/>
    <x:col min="5" max="5" width="11" customWidth="1"/>
    <x:col min="6" max="16" width="16" customWidth="1"/>
    <x:col min="17" max="17" width="13.75" hidden="0" customWidth="1"/>
    <x:col min="18" max="18" width="13.75" hidden="0" customWidth="1"/>
    <x:col min="19" max="19" width="13.75" hidden="0" customWidth="1"/>
    <x:col min="20" max="20" width="13.75" hidden="0" customWidth="1"/>
  </x:cols>
  <x:sheetData>
    <x:row r="1" ht="25.5" customHeight="1">
      <x:c r="A1" s="23" t="s">
        <x:v>77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</x:row>
    <x:row r="2" ht="25.5" customHeight="1">
      <x:c r="A2" s="30" t="s">
        <x:v>38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</x:row>
    <x:row r="3" ht="57.75" customHeight="1">
      <x:c r="A3" s="1" t="s">
        <x:v>3</x:v>
      </x:c>
      <x:c r="B3" s="1" t="s">
        <x:v>42</x:v>
      </x:c>
      <x:c r="C3" s="1" t="s">
        <x:v>43</x:v>
      </x:c>
      <x:c r="D3" s="1" t="s">
        <x:v>44</x:v>
      </x:c>
      <x:c r="E3" s="1" t="s">
        <x:v>45</x:v>
      </x:c>
      <x:c r="F3" s="1" t="s">
        <x:v>8</x:v>
      </x:c>
      <x:c r="G3" s="1" t="s">
        <x:v>9</x:v>
      </x:c>
      <x:c r="H3" s="1" t="s">
        <x:v>10</x:v>
      </x:c>
      <x:c r="I3" s="1" t="s">
        <x:v>11</x:v>
      </x:c>
      <x:c r="J3" s="1" t="s">
        <x:v>12</x:v>
      </x:c>
      <x:c r="K3" s="1" t="s">
        <x:v>13</x:v>
      </x:c>
      <x:c r="L3" s="1" t="s">
        <x:v>14</x:v>
      </x:c>
      <x:c r="M3" s="1" t="s">
        <x:v>15</x:v>
      </x:c>
      <x:c r="N3" s="1" t="s">
        <x:v>16</x:v>
      </x:c>
      <x:c r="O3" s="1" t="s">
        <x:v>17</x:v>
      </x:c>
      <x:c r="P3" s="1" t="s">
        <x:v>18</x:v>
      </x:c>
      <x:c r="Q3" s="31" t="str">
        <x:v>Dep. Federal
Wellington Roberto</x:v>
      </x:c>
      <x:c r="R3" s="31" t="str">
        <x:v>Dep. Federal
Wilson Santiago</x:v>
      </x:c>
      <x:c r="S3" s="31" t="str">
        <x:v>Dep. Federal
Aguinaldo Ribeiro</x:v>
      </x:c>
      <x:c r="T3" s="31" t="str">
        <x:v>Total lançado
(14 candidatos)</x:v>
      </x:c>
    </x:row>
    <x:row r="4">
      <x:c r="A4" s="11" t="s">
        <x:v>22</x:v>
      </x:c>
      <x:c r="B4" s="10" t="s">
        <x:v>78</x:v>
      </x:c>
      <x:c r="C4" s="11">
        <x:v>103</x:v>
      </x:c>
      <x:c r="D4" s="11">
        <x:v>2439</x:v>
      </x:c>
      <x:c r="E4" s="11" t="s">
        <x:v>47</x:v>
      </x:c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41">
        <x:f t="shared" ref="Q4:Q17" si="0">SUM(F4:P4)</x:f>
      </x:c>
      <x:c r="R4" s="44"/>
      <x:c r="S4" s="44"/>
      <x:c r="T4" s="50" t="n">
        <x:f>SUM(F4:S4)</x:f>
        <x:v>0</x:v>
      </x:c>
    </x:row>
    <x:row r="5">
      <x:c r="A5" s="7" t="s">
        <x:v>22</x:v>
      </x:c>
      <x:c r="B5" s="6" t="s">
        <x:v>78</x:v>
      </x:c>
      <x:c r="C5" s="7">
        <x:v>104</x:v>
      </x:c>
      <x:c r="D5" s="7">
        <x:v>2439</x:v>
      </x:c>
      <x:c r="E5" s="7" t="s">
        <x:v>47</x:v>
      </x:c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41">
        <x:f t="shared" si="0"/>
      </x:c>
      <x:c r="R5" s="44"/>
      <x:c r="S5" s="44"/>
      <x:c r="T5" s="50" t="n">
        <x:f>SUM(F5:S5)</x:f>
        <x:v>0</x:v>
      </x:c>
    </x:row>
    <x:row r="6">
      <x:c r="A6" s="11" t="s">
        <x:v>22</x:v>
      </x:c>
      <x:c r="B6" s="10" t="s">
        <x:v>78</x:v>
      </x:c>
      <x:c r="C6" s="11">
        <x:v>105</x:v>
      </x:c>
      <x:c r="D6" s="11">
        <x:v>2439</x:v>
      </x:c>
      <x:c r="E6" s="11" t="s">
        <x:v>47</x:v>
      </x:c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41">
        <x:f t="shared" si="0"/>
      </x:c>
      <x:c r="R6" s="44"/>
      <x:c r="S6" s="44"/>
      <x:c r="T6" s="50" t="n">
        <x:f>SUM(F6:S6)</x:f>
        <x:v>0</x:v>
      </x:c>
    </x:row>
    <x:row r="7">
      <x:c r="A7" s="7" t="s">
        <x:v>22</x:v>
      </x:c>
      <x:c r="B7" s="6" t="s">
        <x:v>78</x:v>
      </x:c>
      <x:c r="C7" s="7">
        <x:v>106</x:v>
      </x:c>
      <x:c r="D7" s="7">
        <x:v>2439</x:v>
      </x:c>
      <x:c r="E7" s="7" t="s">
        <x:v>47</x:v>
      </x:c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41">
        <x:f t="shared" si="0"/>
      </x:c>
      <x:c r="R7" s="44"/>
      <x:c r="S7" s="44"/>
      <x:c r="T7" s="50" t="n">
        <x:f>SUM(F7:S7)</x:f>
        <x:v>0</x:v>
      </x:c>
    </x:row>
    <x:row r="8">
      <x:c r="A8" s="11" t="s">
        <x:v>22</x:v>
      </x:c>
      <x:c r="B8" s="10" t="s">
        <x:v>78</x:v>
      </x:c>
      <x:c r="C8" s="11">
        <x:v>107</x:v>
      </x:c>
      <x:c r="D8" s="11">
        <x:v>2439</x:v>
      </x:c>
      <x:c r="E8" s="11" t="s">
        <x:v>47</x:v>
      </x:c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41">
        <x:f t="shared" si="0"/>
      </x:c>
      <x:c r="R8" s="44"/>
      <x:c r="S8" s="44"/>
      <x:c r="T8" s="50" t="n">
        <x:f>SUM(F8:S8)</x:f>
        <x:v>0</x:v>
      </x:c>
    </x:row>
    <x:row r="9">
      <x:c r="A9" s="7" t="s">
        <x:v>22</x:v>
      </x:c>
      <x:c r="B9" s="6" t="s">
        <x:v>78</x:v>
      </x:c>
      <x:c r="C9" s="7">
        <x:v>108</x:v>
      </x:c>
      <x:c r="D9" s="7">
        <x:v>2439</x:v>
      </x:c>
      <x:c r="E9" s="7" t="s">
        <x:v>47</x:v>
      </x:c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41">
        <x:f t="shared" si="0"/>
      </x:c>
      <x:c r="R9" s="44"/>
      <x:c r="S9" s="44"/>
      <x:c r="T9" s="50" t="n">
        <x:f>SUM(F9:S9)</x:f>
        <x:v>0</x:v>
      </x:c>
    </x:row>
    <x:row r="10">
      <x:c r="A10" s="11" t="s">
        <x:v>22</x:v>
      </x:c>
      <x:c r="B10" s="10" t="s">
        <x:v>78</x:v>
      </x:c>
      <x:c r="C10" s="11">
        <x:v>129</x:v>
      </x:c>
      <x:c r="D10" s="11">
        <x:v>2439</x:v>
      </x:c>
      <x:c r="E10" s="11" t="s">
        <x:v>47</x:v>
      </x:c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41">
        <x:f t="shared" si="0"/>
      </x:c>
      <x:c r="R10" s="44"/>
      <x:c r="S10" s="44"/>
      <x:c r="T10" s="50" t="n">
        <x:f>SUM(F10:S10)</x:f>
        <x:v>0</x:v>
      </x:c>
    </x:row>
    <x:row r="11">
      <x:c r="A11" s="7" t="s">
        <x:v>22</x:v>
      </x:c>
      <x:c r="B11" s="6" t="s">
        <x:v>78</x:v>
      </x:c>
      <x:c r="C11" s="7">
        <x:v>130</x:v>
      </x:c>
      <x:c r="D11" s="7">
        <x:v>2439</x:v>
      </x:c>
      <x:c r="E11" s="7" t="s">
        <x:v>47</x:v>
      </x:c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41">
        <x:f t="shared" si="0"/>
      </x:c>
      <x:c r="R11" s="44"/>
      <x:c r="S11" s="44"/>
      <x:c r="T11" s="50" t="n">
        <x:f>SUM(F11:S11)</x:f>
        <x:v>0</x:v>
      </x:c>
    </x:row>
    <x:row r="12">
      <x:c r="A12" s="11" t="s">
        <x:v>22</x:v>
      </x:c>
      <x:c r="B12" s="10" t="s">
        <x:v>79</x:v>
      </x:c>
      <x:c r="C12" s="11">
        <x:v>109</x:v>
      </x:c>
      <x:c r="D12" s="11">
        <x:v>1797</x:v>
      </x:c>
      <x:c r="E12" s="11" t="s">
        <x:v>47</x:v>
      </x:c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41">
        <x:f t="shared" si="0"/>
      </x:c>
      <x:c r="R12" s="44"/>
      <x:c r="S12" s="44"/>
      <x:c r="T12" s="50" t="n">
        <x:f>SUM(F12:S12)</x:f>
        <x:v>0</x:v>
      </x:c>
    </x:row>
    <x:row r="13">
      <x:c r="A13" s="7" t="s">
        <x:v>22</x:v>
      </x:c>
      <x:c r="B13" s="6" t="s">
        <x:v>79</x:v>
      </x:c>
      <x:c r="C13" s="7">
        <x:v>110</x:v>
      </x:c>
      <x:c r="D13" s="7">
        <x:v>1797</x:v>
      </x:c>
      <x:c r="E13" s="7" t="s">
        <x:v>47</x:v>
      </x:c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41">
        <x:f t="shared" si="0"/>
      </x:c>
      <x:c r="R13" s="44"/>
      <x:c r="S13" s="44"/>
      <x:c r="T13" s="50" t="n">
        <x:f>SUM(F13:S13)</x:f>
        <x:v>0</x:v>
      </x:c>
    </x:row>
    <x:row r="14">
      <x:c r="A14" s="11" t="s">
        <x:v>22</x:v>
      </x:c>
      <x:c r="B14" s="10" t="s">
        <x:v>79</x:v>
      </x:c>
      <x:c r="C14" s="11">
        <x:v>111</x:v>
      </x:c>
      <x:c r="D14" s="11">
        <x:v>1797</x:v>
      </x:c>
      <x:c r="E14" s="11" t="s">
        <x:v>47</x:v>
      </x:c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41">
        <x:f t="shared" si="0"/>
      </x:c>
      <x:c r="R14" s="44"/>
      <x:c r="S14" s="44"/>
      <x:c r="T14" s="50" t="n">
        <x:f>SUM(F14:S14)</x:f>
        <x:v>0</x:v>
      </x:c>
    </x:row>
    <x:row r="15">
      <x:c r="A15" s="7" t="s">
        <x:v>22</x:v>
      </x:c>
      <x:c r="B15" s="6" t="s">
        <x:v>79</x:v>
      </x:c>
      <x:c r="C15" s="7">
        <x:v>112</x:v>
      </x:c>
      <x:c r="D15" s="7">
        <x:v>1797</x:v>
      </x:c>
      <x:c r="E15" s="7" t="s">
        <x:v>47</x:v>
      </x:c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41">
        <x:f t="shared" si="0"/>
      </x:c>
      <x:c r="R15" s="44"/>
      <x:c r="S15" s="44"/>
      <x:c r="T15" s="50" t="n">
        <x:f>SUM(F15:S15)</x:f>
        <x:v>0</x:v>
      </x:c>
    </x:row>
    <x:row r="16">
      <x:c r="A16" s="11" t="s">
        <x:v>22</x:v>
      </x:c>
      <x:c r="B16" s="10" t="s">
        <x:v>79</x:v>
      </x:c>
      <x:c r="C16" s="11">
        <x:v>113</x:v>
      </x:c>
      <x:c r="D16" s="11">
        <x:v>1797</x:v>
      </x:c>
      <x:c r="E16" s="11" t="s">
        <x:v>47</x:v>
      </x:c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41">
        <x:f t="shared" si="0"/>
      </x:c>
      <x:c r="R16" s="44"/>
      <x:c r="S16" s="44"/>
      <x:c r="T16" s="50" t="n">
        <x:f>SUM(F16:S16)</x:f>
        <x:v>0</x:v>
      </x:c>
    </x:row>
    <x:row r="17">
      <x:c r="A17" s="7" t="s">
        <x:v>22</x:v>
      </x:c>
      <x:c r="B17" s="6" t="s">
        <x:v>79</x:v>
      </x:c>
      <x:c r="C17" s="7">
        <x:v>114</x:v>
      </x:c>
      <x:c r="D17" s="7">
        <x:v>1797</x:v>
      </x:c>
      <x:c r="E17" s="7" t="s">
        <x:v>47</x:v>
      </x:c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41">
        <x:f t="shared" si="0"/>
      </x:c>
      <x:c r="R17" s="44"/>
      <x:c r="S17" s="44"/>
      <x:c r="T17" s="50" t="n">
        <x:f>SUM(F17:S17)</x:f>
        <x:v>0</x:v>
      </x:c>
    </x:row>
  </x:sheetData>
  <x:mergeCells>
    <x:mergeCell ref="A1:T1"/>
    <x:mergeCell ref="A2:T2"/>
  </x:mergeCells>
  <x:dataValidations count="1">
    <x:dataValidation type="list" allowBlank="1" sqref="E4:E17">
      <x:formula1>"Pendente,Apurada"</x:formula1>
      <x:formula2>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ColWidth="8.6640625" defaultRowHeight="14.399999618530273"/>
  <x:cols>
    <x:col min="1" max="1" width="7" customWidth="1"/>
    <x:col min="2" max="2" width="44" customWidth="1"/>
    <x:col min="3" max="3" width="8" customWidth="1"/>
    <x:col min="4" max="4" width="13" customWidth="1"/>
    <x:col min="5" max="5" width="11" customWidth="1"/>
    <x:col min="6" max="16" width="16" customWidth="1"/>
    <x:col min="17" max="17" width="13.75" hidden="0" customWidth="1"/>
    <x:col min="18" max="18" width="13.75" hidden="0" customWidth="1"/>
    <x:col min="19" max="19" width="13.75" hidden="0" customWidth="1"/>
    <x:col min="20" max="20" width="13.75" hidden="0" customWidth="1"/>
  </x:cols>
  <x:sheetData>
    <x:row r="1" ht="25.5" customHeight="1">
      <x:c r="A1" s="23" t="s">
        <x:v>80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</x:row>
    <x:row r="2" ht="25.5" customHeight="1">
      <x:c r="A2" s="30" t="s">
        <x:v>38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</x:row>
    <x:row r="3" ht="57.75" customHeight="1">
      <x:c r="A3" s="1" t="s">
        <x:v>3</x:v>
      </x:c>
      <x:c r="B3" s="1" t="s">
        <x:v>42</x:v>
      </x:c>
      <x:c r="C3" s="1" t="s">
        <x:v>43</x:v>
      </x:c>
      <x:c r="D3" s="1" t="s">
        <x:v>44</x:v>
      </x:c>
      <x:c r="E3" s="1" t="s">
        <x:v>45</x:v>
      </x:c>
      <x:c r="F3" s="1" t="s">
        <x:v>8</x:v>
      </x:c>
      <x:c r="G3" s="1" t="s">
        <x:v>9</x:v>
      </x:c>
      <x:c r="H3" s="1" t="s">
        <x:v>10</x:v>
      </x:c>
      <x:c r="I3" s="1" t="s">
        <x:v>11</x:v>
      </x:c>
      <x:c r="J3" s="1" t="s">
        <x:v>12</x:v>
      </x:c>
      <x:c r="K3" s="1" t="s">
        <x:v>13</x:v>
      </x:c>
      <x:c r="L3" s="1" t="s">
        <x:v>14</x:v>
      </x:c>
      <x:c r="M3" s="1" t="s">
        <x:v>15</x:v>
      </x:c>
      <x:c r="N3" s="1" t="s">
        <x:v>16</x:v>
      </x:c>
      <x:c r="O3" s="1" t="s">
        <x:v>17</x:v>
      </x:c>
      <x:c r="P3" s="1" t="s">
        <x:v>18</x:v>
      </x:c>
      <x:c r="Q3" s="31" t="str">
        <x:v>Dep. Federal
Wellington Roberto</x:v>
      </x:c>
      <x:c r="R3" s="31" t="str">
        <x:v>Dep. Federal
Wilson Santiago</x:v>
      </x:c>
      <x:c r="S3" s="31" t="str">
        <x:v>Dep. Federal
Aguinaldo Ribeiro</x:v>
      </x:c>
      <x:c r="T3" s="31" t="str">
        <x:v>Total lançado
(14 candidatos)</x:v>
      </x:c>
    </x:row>
    <x:row r="4">
      <x:c r="A4" s="11" t="s">
        <x:v>20</x:v>
      </x:c>
      <x:c r="B4" s="10" t="s">
        <x:v>81</x:v>
      </x:c>
      <x:c r="C4" s="11">
        <x:v>78</x:v>
      </x:c>
      <x:c r="D4" s="11">
        <x:v>1194</x:v>
      </x:c>
      <x:c r="E4" s="11" t="s">
        <x:v>47</x:v>
      </x:c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41">
        <x:f t="shared" ref="Q4:Q16" si="0">SUM(F4:P4)</x:f>
      </x:c>
      <x:c r="R4" s="44"/>
      <x:c r="S4" s="44"/>
      <x:c r="T4" s="50" t="n">
        <x:f>SUM(F4:S4)</x:f>
        <x:v>0</x:v>
      </x:c>
    </x:row>
    <x:row r="5">
      <x:c r="A5" s="7" t="s">
        <x:v>20</x:v>
      </x:c>
      <x:c r="B5" s="6" t="s">
        <x:v>81</x:v>
      </x:c>
      <x:c r="C5" s="7">
        <x:v>84</x:v>
      </x:c>
      <x:c r="D5" s="7">
        <x:v>1194</x:v>
      </x:c>
      <x:c r="E5" s="7" t="s">
        <x:v>47</x:v>
      </x:c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41">
        <x:f t="shared" si="0"/>
      </x:c>
      <x:c r="R5" s="44"/>
      <x:c r="S5" s="44"/>
      <x:c r="T5" s="50" t="n">
        <x:f>SUM(F5:S5)</x:f>
        <x:v>0</x:v>
      </x:c>
    </x:row>
    <x:row r="6">
      <x:c r="A6" s="11" t="s">
        <x:v>20</x:v>
      </x:c>
      <x:c r="B6" s="10" t="s">
        <x:v>81</x:v>
      </x:c>
      <x:c r="C6" s="11">
        <x:v>85</x:v>
      </x:c>
      <x:c r="D6" s="11">
        <x:v>1194</x:v>
      </x:c>
      <x:c r="E6" s="11" t="s">
        <x:v>47</x:v>
      </x:c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41">
        <x:f t="shared" si="0"/>
      </x:c>
      <x:c r="R6" s="44"/>
      <x:c r="S6" s="44"/>
      <x:c r="T6" s="50" t="n">
        <x:f>SUM(F6:S6)</x:f>
        <x:v>0</x:v>
      </x:c>
    </x:row>
    <x:row r="7">
      <x:c r="A7" s="7" t="s">
        <x:v>20</x:v>
      </x:c>
      <x:c r="B7" s="6" t="s">
        <x:v>81</x:v>
      </x:c>
      <x:c r="C7" s="7">
        <x:v>178</x:v>
      </x:c>
      <x:c r="D7" s="7">
        <x:v>1194</x:v>
      </x:c>
      <x:c r="E7" s="7" t="s">
        <x:v>47</x:v>
      </x:c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41">
        <x:f t="shared" si="0"/>
      </x:c>
      <x:c r="R7" s="44"/>
      <x:c r="S7" s="44"/>
      <x:c r="T7" s="50" t="n">
        <x:f>SUM(F7:S7)</x:f>
        <x:v>0</x:v>
      </x:c>
    </x:row>
    <x:row r="8">
      <x:c r="A8" s="11" t="s">
        <x:v>20</x:v>
      </x:c>
      <x:c r="B8" s="10" t="s">
        <x:v>82</x:v>
      </x:c>
      <x:c r="C8" s="11">
        <x:v>88</x:v>
      </x:c>
      <x:c r="D8" s="11">
        <x:v>837</x:v>
      </x:c>
      <x:c r="E8" s="11" t="s">
        <x:v>47</x:v>
      </x:c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41">
        <x:f t="shared" si="0"/>
      </x:c>
      <x:c r="R8" s="44"/>
      <x:c r="S8" s="44"/>
      <x:c r="T8" s="50" t="n">
        <x:f>SUM(F8:S8)</x:f>
        <x:v>0</x:v>
      </x:c>
    </x:row>
    <x:row r="9">
      <x:c r="A9" s="7" t="s">
        <x:v>20</x:v>
      </x:c>
      <x:c r="B9" s="6" t="s">
        <x:v>82</x:v>
      </x:c>
      <x:c r="C9" s="7">
        <x:v>89</x:v>
      </x:c>
      <x:c r="D9" s="7">
        <x:v>837</x:v>
      </x:c>
      <x:c r="E9" s="7" t="s">
        <x:v>47</x:v>
      </x:c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41">
        <x:f t="shared" si="0"/>
      </x:c>
      <x:c r="R9" s="44"/>
      <x:c r="S9" s="44"/>
      <x:c r="T9" s="50" t="n">
        <x:f>SUM(F9:S9)</x:f>
        <x:v>0</x:v>
      </x:c>
    </x:row>
    <x:row r="10">
      <x:c r="A10" s="11" t="s">
        <x:v>20</x:v>
      </x:c>
      <x:c r="B10" s="10" t="s">
        <x:v>82</x:v>
      </x:c>
      <x:c r="C10" s="11">
        <x:v>116</x:v>
      </x:c>
      <x:c r="D10" s="11">
        <x:v>837</x:v>
      </x:c>
      <x:c r="E10" s="11" t="s">
        <x:v>47</x:v>
      </x:c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41">
        <x:f t="shared" si="0"/>
      </x:c>
      <x:c r="R10" s="44"/>
      <x:c r="S10" s="44"/>
      <x:c r="T10" s="50" t="n">
        <x:f>SUM(F10:S10)</x:f>
        <x:v>0</x:v>
      </x:c>
    </x:row>
    <x:row r="11">
      <x:c r="A11" s="7" t="s">
        <x:v>20</x:v>
      </x:c>
      <x:c r="B11" s="6" t="s">
        <x:v>83</x:v>
      </x:c>
      <x:c r="C11" s="7">
        <x:v>79</x:v>
      </x:c>
      <x:c r="D11" s="7">
        <x:v>1934</x:v>
      </x:c>
      <x:c r="E11" s="7" t="s">
        <x:v>47</x:v>
      </x:c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41">
        <x:f t="shared" si="0"/>
      </x:c>
      <x:c r="R11" s="44"/>
      <x:c r="S11" s="44"/>
      <x:c r="T11" s="50" t="n">
        <x:f>SUM(F11:S11)</x:f>
        <x:v>0</x:v>
      </x:c>
    </x:row>
    <x:row r="12">
      <x:c r="A12" s="11" t="s">
        <x:v>20</x:v>
      </x:c>
      <x:c r="B12" s="10" t="s">
        <x:v>83</x:v>
      </x:c>
      <x:c r="C12" s="11">
        <x:v>80</x:v>
      </x:c>
      <x:c r="D12" s="11">
        <x:v>1934</x:v>
      </x:c>
      <x:c r="E12" s="11" t="s">
        <x:v>47</x:v>
      </x:c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41">
        <x:f t="shared" si="0"/>
      </x:c>
      <x:c r="R12" s="44"/>
      <x:c r="S12" s="44"/>
      <x:c r="T12" s="50" t="n">
        <x:f>SUM(F12:S12)</x:f>
        <x:v>0</x:v>
      </x:c>
    </x:row>
    <x:row r="13">
      <x:c r="A13" s="7" t="s">
        <x:v>20</x:v>
      </x:c>
      <x:c r="B13" s="6" t="s">
        <x:v>83</x:v>
      </x:c>
      <x:c r="C13" s="7">
        <x:v>81</x:v>
      </x:c>
      <x:c r="D13" s="7">
        <x:v>1934</x:v>
      </x:c>
      <x:c r="E13" s="7" t="s">
        <x:v>47</x:v>
      </x:c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41">
        <x:f t="shared" si="0"/>
      </x:c>
      <x:c r="R13" s="44"/>
      <x:c r="S13" s="44"/>
      <x:c r="T13" s="50" t="n">
        <x:f>SUM(F13:S13)</x:f>
        <x:v>0</x:v>
      </x:c>
    </x:row>
    <x:row r="14">
      <x:c r="A14" s="11" t="s">
        <x:v>20</x:v>
      </x:c>
      <x:c r="B14" s="10" t="s">
        <x:v>83</x:v>
      </x:c>
      <x:c r="C14" s="11">
        <x:v>82</x:v>
      </x:c>
      <x:c r="D14" s="11">
        <x:v>1934</x:v>
      </x:c>
      <x:c r="E14" s="11" t="s">
        <x:v>47</x:v>
      </x:c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41">
        <x:f t="shared" si="0"/>
      </x:c>
      <x:c r="R14" s="44"/>
      <x:c r="S14" s="44"/>
      <x:c r="T14" s="50" t="n">
        <x:f>SUM(F14:S14)</x:f>
        <x:v>0</x:v>
      </x:c>
    </x:row>
    <x:row r="15">
      <x:c r="A15" s="7" t="s">
        <x:v>20</x:v>
      </x:c>
      <x:c r="B15" s="6" t="s">
        <x:v>83</x:v>
      </x:c>
      <x:c r="C15" s="7">
        <x:v>83</x:v>
      </x:c>
      <x:c r="D15" s="7">
        <x:v>1934</x:v>
      </x:c>
      <x:c r="E15" s="7" t="s">
        <x:v>47</x:v>
      </x:c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41">
        <x:f t="shared" si="0"/>
      </x:c>
      <x:c r="R15" s="44"/>
      <x:c r="S15" s="44"/>
      <x:c r="T15" s="50" t="n">
        <x:f>SUM(F15:S15)</x:f>
        <x:v>0</x:v>
      </x:c>
    </x:row>
    <x:row r="16">
      <x:c r="A16" s="11" t="s">
        <x:v>20</x:v>
      </x:c>
      <x:c r="B16" s="10" t="s">
        <x:v>83</x:v>
      </x:c>
      <x:c r="C16" s="11">
        <x:v>87</x:v>
      </x:c>
      <x:c r="D16" s="11">
        <x:v>1934</x:v>
      </x:c>
      <x:c r="E16" s="11" t="s">
        <x:v>47</x:v>
      </x:c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41">
        <x:f t="shared" si="0"/>
      </x:c>
      <x:c r="R16" s="44"/>
      <x:c r="S16" s="44"/>
      <x:c r="T16" s="50" t="n">
        <x:f>SUM(F16:S16)</x:f>
        <x:v>0</x:v>
      </x:c>
    </x:row>
  </x:sheetData>
  <x:mergeCells>
    <x:mergeCell ref="A1:T1"/>
    <x:mergeCell ref="A2:T2"/>
  </x:mergeCells>
  <x:dataValidations count="1">
    <x:dataValidation type="list" allowBlank="1" sqref="E4:E16">
      <x:formula1>"Pendente,Apurada"</x:formula1>
      <x:formula2>0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ColWidth="8.6640625" defaultRowHeight="14.399999618530273"/>
  <x:cols>
    <x:col min="1" max="1" width="7" customWidth="1"/>
    <x:col min="2" max="2" width="44" customWidth="1"/>
    <x:col min="3" max="3" width="8" customWidth="1"/>
    <x:col min="4" max="4" width="13" customWidth="1"/>
    <x:col min="5" max="5" width="11" customWidth="1"/>
    <x:col min="6" max="16" width="16" customWidth="1"/>
    <x:col min="17" max="17" width="13.75" hidden="0" customWidth="1"/>
    <x:col min="18" max="18" width="13.75" hidden="0" customWidth="1"/>
    <x:col min="19" max="19" width="13.75" hidden="0" customWidth="1"/>
    <x:col min="20" max="20" width="13.75" hidden="0" customWidth="1"/>
  </x:cols>
  <x:sheetData>
    <x:row r="1" ht="25.5" customHeight="1">
      <x:c r="A1" s="23" t="s">
        <x:v>84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</x:row>
    <x:row r="2" ht="25.5" customHeight="1">
      <x:c r="A2" s="30" t="s">
        <x:v>38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</x:row>
    <x:row r="3" ht="57.75" customHeight="1">
      <x:c r="A3" s="1" t="s">
        <x:v>3</x:v>
      </x:c>
      <x:c r="B3" s="1" t="s">
        <x:v>42</x:v>
      </x:c>
      <x:c r="C3" s="1" t="s">
        <x:v>43</x:v>
      </x:c>
      <x:c r="D3" s="1" t="s">
        <x:v>44</x:v>
      </x:c>
      <x:c r="E3" s="1" t="s">
        <x:v>45</x:v>
      </x:c>
      <x:c r="F3" s="1" t="s">
        <x:v>8</x:v>
      </x:c>
      <x:c r="G3" s="1" t="s">
        <x:v>9</x:v>
      </x:c>
      <x:c r="H3" s="1" t="s">
        <x:v>10</x:v>
      </x:c>
      <x:c r="I3" s="1" t="s">
        <x:v>11</x:v>
      </x:c>
      <x:c r="J3" s="1" t="s">
        <x:v>12</x:v>
      </x:c>
      <x:c r="K3" s="1" t="s">
        <x:v>13</x:v>
      </x:c>
      <x:c r="L3" s="1" t="s">
        <x:v>14</x:v>
      </x:c>
      <x:c r="M3" s="1" t="s">
        <x:v>15</x:v>
      </x:c>
      <x:c r="N3" s="1" t="s">
        <x:v>16</x:v>
      </x:c>
      <x:c r="O3" s="1" t="s">
        <x:v>17</x:v>
      </x:c>
      <x:c r="P3" s="1" t="s">
        <x:v>18</x:v>
      </x:c>
      <x:c r="Q3" s="31" t="str">
        <x:v>Dep. Federal
Wellington Roberto</x:v>
      </x:c>
      <x:c r="R3" s="31" t="str">
        <x:v>Dep. Federal
Wilson Santiago</x:v>
      </x:c>
      <x:c r="S3" s="31" t="str">
        <x:v>Dep. Federal
Aguinaldo Ribeiro</x:v>
      </x:c>
      <x:c r="T3" s="31" t="str">
        <x:v>Total lançado
(14 candidatos)</x:v>
      </x:c>
    </x:row>
    <x:row r="4">
      <x:c r="A4" s="11" t="s">
        <x:v>20</x:v>
      </x:c>
      <x:c r="B4" s="10" t="s">
        <x:v>85</x:v>
      </x:c>
      <x:c r="C4" s="11">
        <x:v>90</x:v>
      </x:c>
      <x:c r="D4" s="11">
        <x:v>1956</x:v>
      </x:c>
      <x:c r="E4" s="11" t="s">
        <x:v>47</x:v>
      </x:c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41">
        <x:f t="shared" ref="Q4:Q15" si="0">SUM(F4:P4)</x:f>
      </x:c>
      <x:c r="R4" s="44"/>
      <x:c r="S4" s="44"/>
      <x:c r="T4" s="50" t="n">
        <x:f>SUM(F4:S4)</x:f>
        <x:v>0</x:v>
      </x:c>
    </x:row>
    <x:row r="5">
      <x:c r="A5" s="7" t="s">
        <x:v>20</x:v>
      </x:c>
      <x:c r="B5" s="6" t="s">
        <x:v>85</x:v>
      </x:c>
      <x:c r="C5" s="7">
        <x:v>91</x:v>
      </x:c>
      <x:c r="D5" s="7">
        <x:v>1956</x:v>
      </x:c>
      <x:c r="E5" s="7" t="s">
        <x:v>47</x:v>
      </x:c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41">
        <x:f t="shared" si="0"/>
      </x:c>
      <x:c r="R5" s="44"/>
      <x:c r="S5" s="44"/>
      <x:c r="T5" s="50" t="n">
        <x:f>SUM(F5:S5)</x:f>
        <x:v>0</x:v>
      </x:c>
    </x:row>
    <x:row r="6">
      <x:c r="A6" s="11" t="s">
        <x:v>20</x:v>
      </x:c>
      <x:c r="B6" s="10" t="s">
        <x:v>85</x:v>
      </x:c>
      <x:c r="C6" s="11">
        <x:v>92</x:v>
      </x:c>
      <x:c r="D6" s="11">
        <x:v>1956</x:v>
      </x:c>
      <x:c r="E6" s="11" t="s">
        <x:v>47</x:v>
      </x:c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41">
        <x:f t="shared" si="0"/>
      </x:c>
      <x:c r="R6" s="44"/>
      <x:c r="S6" s="44"/>
      <x:c r="T6" s="50" t="n">
        <x:f>SUM(F6:S6)</x:f>
        <x:v>0</x:v>
      </x:c>
    </x:row>
    <x:row r="7">
      <x:c r="A7" s="7" t="s">
        <x:v>20</x:v>
      </x:c>
      <x:c r="B7" s="6" t="s">
        <x:v>85</x:v>
      </x:c>
      <x:c r="C7" s="7">
        <x:v>93</x:v>
      </x:c>
      <x:c r="D7" s="7">
        <x:v>1956</x:v>
      </x:c>
      <x:c r="E7" s="7" t="s">
        <x:v>47</x:v>
      </x:c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41">
        <x:f t="shared" si="0"/>
      </x:c>
      <x:c r="R7" s="44"/>
      <x:c r="S7" s="44"/>
      <x:c r="T7" s="50" t="n">
        <x:f>SUM(F7:S7)</x:f>
        <x:v>0</x:v>
      </x:c>
    </x:row>
    <x:row r="8">
      <x:c r="A8" s="11" t="s">
        <x:v>20</x:v>
      </x:c>
      <x:c r="B8" s="10" t="s">
        <x:v>85</x:v>
      </x:c>
      <x:c r="C8" s="11">
        <x:v>94</x:v>
      </x:c>
      <x:c r="D8" s="11">
        <x:v>1956</x:v>
      </x:c>
      <x:c r="E8" s="11" t="s">
        <x:v>47</x:v>
      </x:c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41">
        <x:f t="shared" si="0"/>
      </x:c>
      <x:c r="R8" s="44"/>
      <x:c r="S8" s="44"/>
      <x:c r="T8" s="50" t="n">
        <x:f>SUM(F8:S8)</x:f>
        <x:v>0</x:v>
      </x:c>
    </x:row>
    <x:row r="9">
      <x:c r="A9" s="7" t="s">
        <x:v>20</x:v>
      </x:c>
      <x:c r="B9" s="6" t="s">
        <x:v>85</x:v>
      </x:c>
      <x:c r="C9" s="7">
        <x:v>95</x:v>
      </x:c>
      <x:c r="D9" s="7">
        <x:v>1956</x:v>
      </x:c>
      <x:c r="E9" s="7" t="s">
        <x:v>47</x:v>
      </x:c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41">
        <x:f t="shared" si="0"/>
      </x:c>
      <x:c r="R9" s="44"/>
      <x:c r="S9" s="44"/>
      <x:c r="T9" s="50" t="n">
        <x:f>SUM(F9:S9)</x:f>
        <x:v>0</x:v>
      </x:c>
    </x:row>
    <x:row r="10">
      <x:c r="A10" s="11" t="s">
        <x:v>20</x:v>
      </x:c>
      <x:c r="B10" s="10" t="s">
        <x:v>85</x:v>
      </x:c>
      <x:c r="C10" s="11">
        <x:v>96</x:v>
      </x:c>
      <x:c r="D10" s="11">
        <x:v>1956</x:v>
      </x:c>
      <x:c r="E10" s="11" t="s">
        <x:v>47</x:v>
      </x:c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41">
        <x:f t="shared" si="0"/>
      </x:c>
      <x:c r="R10" s="44"/>
      <x:c r="S10" s="44"/>
      <x:c r="T10" s="50" t="n">
        <x:f>SUM(F10:S10)</x:f>
        <x:v>0</x:v>
      </x:c>
    </x:row>
    <x:row r="11">
      <x:c r="A11" s="7" t="s">
        <x:v>20</x:v>
      </x:c>
      <x:c r="B11" s="6" t="s">
        <x:v>86</x:v>
      </x:c>
      <x:c r="C11" s="7">
        <x:v>97</x:v>
      </x:c>
      <x:c r="D11" s="7">
        <x:v>159</x:v>
      </x:c>
      <x:c r="E11" s="7" t="s">
        <x:v>47</x:v>
      </x:c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41">
        <x:f t="shared" si="0"/>
      </x:c>
      <x:c r="R11" s="44"/>
      <x:c r="S11" s="44"/>
      <x:c r="T11" s="50" t="n">
        <x:f>SUM(F11:S11)</x:f>
        <x:v>0</x:v>
      </x:c>
    </x:row>
    <x:row r="12">
      <x:c r="A12" s="11" t="s">
        <x:v>20</x:v>
      </x:c>
      <x:c r="B12" s="10" t="s">
        <x:v>87</x:v>
      </x:c>
      <x:c r="C12" s="11">
        <x:v>112</x:v>
      </x:c>
      <x:c r="D12" s="11">
        <x:v>1189</x:v>
      </x:c>
      <x:c r="E12" s="11" t="s">
        <x:v>47</x:v>
      </x:c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41">
        <x:f t="shared" si="0"/>
      </x:c>
      <x:c r="R12" s="44"/>
      <x:c r="S12" s="44"/>
      <x:c r="T12" s="50" t="n">
        <x:f>SUM(F12:S12)</x:f>
        <x:v>0</x:v>
      </x:c>
    </x:row>
    <x:row r="13">
      <x:c r="A13" s="7" t="s">
        <x:v>20</x:v>
      </x:c>
      <x:c r="B13" s="6" t="s">
        <x:v>87</x:v>
      </x:c>
      <x:c r="C13" s="7">
        <x:v>130</x:v>
      </x:c>
      <x:c r="D13" s="7">
        <x:v>1189</x:v>
      </x:c>
      <x:c r="E13" s="7" t="s">
        <x:v>47</x:v>
      </x:c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41">
        <x:f t="shared" si="0"/>
      </x:c>
      <x:c r="R13" s="44"/>
      <x:c r="S13" s="44"/>
      <x:c r="T13" s="50" t="n">
        <x:f>SUM(F13:S13)</x:f>
        <x:v>0</x:v>
      </x:c>
    </x:row>
    <x:row r="14">
      <x:c r="A14" s="11" t="s">
        <x:v>20</x:v>
      </x:c>
      <x:c r="B14" s="10" t="s">
        <x:v>87</x:v>
      </x:c>
      <x:c r="C14" s="11">
        <x:v>133</x:v>
      </x:c>
      <x:c r="D14" s="11">
        <x:v>1189</x:v>
      </x:c>
      <x:c r="E14" s="11" t="s">
        <x:v>47</x:v>
      </x:c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41">
        <x:f t="shared" si="0"/>
      </x:c>
      <x:c r="R14" s="44"/>
      <x:c r="S14" s="44"/>
      <x:c r="T14" s="50" t="n">
        <x:f>SUM(F14:S14)</x:f>
        <x:v>0</x:v>
      </x:c>
    </x:row>
    <x:row r="15">
      <x:c r="A15" s="7" t="s">
        <x:v>20</x:v>
      </x:c>
      <x:c r="B15" s="6" t="s">
        <x:v>87</x:v>
      </x:c>
      <x:c r="C15" s="7">
        <x:v>136</x:v>
      </x:c>
      <x:c r="D15" s="7">
        <x:v>1189</x:v>
      </x:c>
      <x:c r="E15" s="7" t="s">
        <x:v>47</x:v>
      </x:c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41">
        <x:f t="shared" si="0"/>
      </x:c>
      <x:c r="R15" s="44"/>
      <x:c r="S15" s="44"/>
      <x:c r="T15" s="50" t="n">
        <x:f>SUM(F15:S15)</x:f>
        <x:v>0</x:v>
      </x:c>
    </x:row>
  </x:sheetData>
  <x:mergeCells>
    <x:mergeCell ref="A1:T1"/>
    <x:mergeCell ref="A2:T2"/>
  </x:mergeCells>
  <x:dataValidations count="1">
    <x:dataValidation type="list" allowBlank="1" sqref="E4:E15">
      <x:formula1>"Pendente,Apurada"</x:formula1>
      <x:formula2>0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ColWidth="8.6640625" defaultRowHeight="14.399999618530273"/>
  <x:cols>
    <x:col min="1" max="1" width="7" customWidth="1"/>
    <x:col min="2" max="2" width="44" customWidth="1"/>
    <x:col min="3" max="3" width="8" customWidth="1"/>
    <x:col min="4" max="4" width="13" customWidth="1"/>
    <x:col min="5" max="5" width="11" customWidth="1"/>
    <x:col min="6" max="16" width="16" customWidth="1"/>
    <x:col min="17" max="17" width="13.75" hidden="0" customWidth="1"/>
    <x:col min="18" max="18" width="13.75" hidden="0" customWidth="1"/>
    <x:col min="19" max="19" width="13.75" hidden="0" customWidth="1"/>
    <x:col min="20" max="20" width="13.75" hidden="0" customWidth="1"/>
  </x:cols>
  <x:sheetData>
    <x:row r="1" ht="25.5" customHeight="1">
      <x:c r="A1" s="23" t="s">
        <x:v>88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</x:row>
    <x:row r="2" ht="25.5" customHeight="1">
      <x:c r="A2" s="30" t="s">
        <x:v>38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</x:row>
    <x:row r="3" ht="57.75" customHeight="1">
      <x:c r="A3" s="1" t="s">
        <x:v>3</x:v>
      </x:c>
      <x:c r="B3" s="1" t="s">
        <x:v>42</x:v>
      </x:c>
      <x:c r="C3" s="1" t="s">
        <x:v>43</x:v>
      </x:c>
      <x:c r="D3" s="1" t="s">
        <x:v>44</x:v>
      </x:c>
      <x:c r="E3" s="1" t="s">
        <x:v>45</x:v>
      </x:c>
      <x:c r="F3" s="1" t="s">
        <x:v>8</x:v>
      </x:c>
      <x:c r="G3" s="1" t="s">
        <x:v>9</x:v>
      </x:c>
      <x:c r="H3" s="1" t="s">
        <x:v>10</x:v>
      </x:c>
      <x:c r="I3" s="1" t="s">
        <x:v>11</x:v>
      </x:c>
      <x:c r="J3" s="1" t="s">
        <x:v>12</x:v>
      </x:c>
      <x:c r="K3" s="1" t="s">
        <x:v>13</x:v>
      </x:c>
      <x:c r="L3" s="1" t="s">
        <x:v>14</x:v>
      </x:c>
      <x:c r="M3" s="1" t="s">
        <x:v>15</x:v>
      </x:c>
      <x:c r="N3" s="1" t="s">
        <x:v>16</x:v>
      </x:c>
      <x:c r="O3" s="1" t="s">
        <x:v>17</x:v>
      </x:c>
      <x:c r="P3" s="1" t="s">
        <x:v>18</x:v>
      </x:c>
      <x:c r="Q3" s="31" t="str">
        <x:v>Dep. Federal
Wellington Roberto</x:v>
      </x:c>
      <x:c r="R3" s="31" t="str">
        <x:v>Dep. Federal
Wilson Santiago</x:v>
      </x:c>
      <x:c r="S3" s="31" t="str">
        <x:v>Dep. Federal
Aguinaldo Ribeiro</x:v>
      </x:c>
      <x:c r="T3" s="31" t="str">
        <x:v>Total lançado
(14 candidatos)</x:v>
      </x:c>
    </x:row>
    <x:row r="4">
      <x:c r="A4" s="11" t="s">
        <x:v>22</x:v>
      </x:c>
      <x:c r="B4" s="10" t="s">
        <x:v>89</x:v>
      </x:c>
      <x:c r="C4" s="11">
        <x:v>115</x:v>
      </x:c>
      <x:c r="D4" s="11">
        <x:v>1969</x:v>
      </x:c>
      <x:c r="E4" s="11" t="s">
        <x:v>47</x:v>
      </x:c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41">
        <x:f t="shared" ref="Q4:Q15" si="0">SUM(F4:P4)</x:f>
      </x:c>
      <x:c r="R4" s="44"/>
      <x:c r="S4" s="44"/>
      <x:c r="T4" s="50" t="n">
        <x:f>SUM(F4:S4)</x:f>
        <x:v>0</x:v>
      </x:c>
    </x:row>
    <x:row r="5">
      <x:c r="A5" s="7" t="s">
        <x:v>22</x:v>
      </x:c>
      <x:c r="B5" s="6" t="s">
        <x:v>89</x:v>
      </x:c>
      <x:c r="C5" s="7">
        <x:v>116</x:v>
      </x:c>
      <x:c r="D5" s="7">
        <x:v>1969</x:v>
      </x:c>
      <x:c r="E5" s="7" t="s">
        <x:v>47</x:v>
      </x:c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41">
        <x:f t="shared" si="0"/>
      </x:c>
      <x:c r="R5" s="44"/>
      <x:c r="S5" s="44"/>
      <x:c r="T5" s="50" t="n">
        <x:f>SUM(F5:S5)</x:f>
        <x:v>0</x:v>
      </x:c>
    </x:row>
    <x:row r="6">
      <x:c r="A6" s="11" t="s">
        <x:v>22</x:v>
      </x:c>
      <x:c r="B6" s="10" t="s">
        <x:v>89</x:v>
      </x:c>
      <x:c r="C6" s="11">
        <x:v>121</x:v>
      </x:c>
      <x:c r="D6" s="11">
        <x:v>1969</x:v>
      </x:c>
      <x:c r="E6" s="11" t="s">
        <x:v>47</x:v>
      </x:c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41">
        <x:f t="shared" si="0"/>
      </x:c>
      <x:c r="R6" s="44"/>
      <x:c r="S6" s="44"/>
      <x:c r="T6" s="50" t="n">
        <x:f>SUM(F6:S6)</x:f>
        <x:v>0</x:v>
      </x:c>
    </x:row>
    <x:row r="7">
      <x:c r="A7" s="7" t="s">
        <x:v>22</x:v>
      </x:c>
      <x:c r="B7" s="6" t="s">
        <x:v>89</x:v>
      </x:c>
      <x:c r="C7" s="7">
        <x:v>122</x:v>
      </x:c>
      <x:c r="D7" s="7">
        <x:v>1969</x:v>
      </x:c>
      <x:c r="E7" s="7" t="s">
        <x:v>47</x:v>
      </x:c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41">
        <x:f t="shared" si="0"/>
      </x:c>
      <x:c r="R7" s="44"/>
      <x:c r="S7" s="44"/>
      <x:c r="T7" s="50" t="n">
        <x:f>SUM(F7:S7)</x:f>
        <x:v>0</x:v>
      </x:c>
    </x:row>
    <x:row r="8">
      <x:c r="A8" s="11" t="s">
        <x:v>22</x:v>
      </x:c>
      <x:c r="B8" s="10" t="s">
        <x:v>89</x:v>
      </x:c>
      <x:c r="C8" s="11">
        <x:v>123</x:v>
      </x:c>
      <x:c r="D8" s="11">
        <x:v>1969</x:v>
      </x:c>
      <x:c r="E8" s="11" t="s">
        <x:v>47</x:v>
      </x:c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41">
        <x:f t="shared" si="0"/>
      </x:c>
      <x:c r="R8" s="44"/>
      <x:c r="S8" s="44"/>
      <x:c r="T8" s="50" t="n">
        <x:f>SUM(F8:S8)</x:f>
        <x:v>0</x:v>
      </x:c>
    </x:row>
    <x:row r="9">
      <x:c r="A9" s="7" t="s">
        <x:v>22</x:v>
      </x:c>
      <x:c r="B9" s="6" t="s">
        <x:v>89</x:v>
      </x:c>
      <x:c r="C9" s="7">
        <x:v>124</x:v>
      </x:c>
      <x:c r="D9" s="7">
        <x:v>1969</x:v>
      </x:c>
      <x:c r="E9" s="7" t="s">
        <x:v>47</x:v>
      </x:c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41">
        <x:f t="shared" si="0"/>
      </x:c>
      <x:c r="R9" s="44"/>
      <x:c r="S9" s="44"/>
      <x:c r="T9" s="50" t="n">
        <x:f>SUM(F9:S9)</x:f>
        <x:v>0</x:v>
      </x:c>
    </x:row>
    <x:row r="10">
      <x:c r="A10" s="11" t="s">
        <x:v>22</x:v>
      </x:c>
      <x:c r="B10" s="10" t="s">
        <x:v>89</x:v>
      </x:c>
      <x:c r="C10" s="11">
        <x:v>125</x:v>
      </x:c>
      <x:c r="D10" s="11">
        <x:v>1969</x:v>
      </x:c>
      <x:c r="E10" s="11" t="s">
        <x:v>47</x:v>
      </x:c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41">
        <x:f t="shared" si="0"/>
      </x:c>
      <x:c r="R10" s="44"/>
      <x:c r="S10" s="44"/>
      <x:c r="T10" s="50" t="n">
        <x:f>SUM(F10:S10)</x:f>
        <x:v>0</x:v>
      </x:c>
    </x:row>
    <x:row r="11">
      <x:c r="A11" s="7" t="s">
        <x:v>22</x:v>
      </x:c>
      <x:c r="B11" s="6" t="s">
        <x:v>89</x:v>
      </x:c>
      <x:c r="C11" s="7">
        <x:v>126</x:v>
      </x:c>
      <x:c r="D11" s="7">
        <x:v>1969</x:v>
      </x:c>
      <x:c r="E11" s="7" t="s">
        <x:v>47</x:v>
      </x:c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41">
        <x:f t="shared" si="0"/>
      </x:c>
      <x:c r="R11" s="44"/>
      <x:c r="S11" s="44"/>
      <x:c r="T11" s="50" t="n">
        <x:f>SUM(F11:S11)</x:f>
        <x:v>0</x:v>
      </x:c>
    </x:row>
    <x:row r="12">
      <x:c r="A12" s="11" t="s">
        <x:v>22</x:v>
      </x:c>
      <x:c r="B12" s="10" t="s">
        <x:v>90</x:v>
      </x:c>
      <x:c r="C12" s="11">
        <x:v>117</x:v>
      </x:c>
      <x:c r="D12" s="11">
        <x:v>1129</x:v>
      </x:c>
      <x:c r="E12" s="11" t="s">
        <x:v>47</x:v>
      </x:c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41">
        <x:f t="shared" si="0"/>
      </x:c>
      <x:c r="R12" s="44"/>
      <x:c r="S12" s="44"/>
      <x:c r="T12" s="50" t="n">
        <x:f>SUM(F12:S12)</x:f>
        <x:v>0</x:v>
      </x:c>
    </x:row>
    <x:row r="13">
      <x:c r="A13" s="7" t="s">
        <x:v>22</x:v>
      </x:c>
      <x:c r="B13" s="6" t="s">
        <x:v>90</x:v>
      </x:c>
      <x:c r="C13" s="7">
        <x:v>118</x:v>
      </x:c>
      <x:c r="D13" s="7">
        <x:v>1129</x:v>
      </x:c>
      <x:c r="E13" s="7" t="s">
        <x:v>47</x:v>
      </x:c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41">
        <x:f t="shared" si="0"/>
      </x:c>
      <x:c r="R13" s="44"/>
      <x:c r="S13" s="44"/>
      <x:c r="T13" s="50" t="n">
        <x:f>SUM(F13:S13)</x:f>
        <x:v>0</x:v>
      </x:c>
    </x:row>
    <x:row r="14">
      <x:c r="A14" s="11" t="s">
        <x:v>22</x:v>
      </x:c>
      <x:c r="B14" s="10" t="s">
        <x:v>90</x:v>
      </x:c>
      <x:c r="C14" s="11">
        <x:v>119</x:v>
      </x:c>
      <x:c r="D14" s="11">
        <x:v>1129</x:v>
      </x:c>
      <x:c r="E14" s="11" t="s">
        <x:v>47</x:v>
      </x:c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41">
        <x:f t="shared" si="0"/>
      </x:c>
      <x:c r="R14" s="44"/>
      <x:c r="S14" s="44"/>
      <x:c r="T14" s="50" t="n">
        <x:f>SUM(F14:S14)</x:f>
        <x:v>0</x:v>
      </x:c>
    </x:row>
    <x:row r="15">
      <x:c r="A15" s="7" t="s">
        <x:v>22</x:v>
      </x:c>
      <x:c r="B15" s="6" t="s">
        <x:v>90</x:v>
      </x:c>
      <x:c r="C15" s="7">
        <x:v>120</x:v>
      </x:c>
      <x:c r="D15" s="7">
        <x:v>1129</x:v>
      </x:c>
      <x:c r="E15" s="7" t="s">
        <x:v>47</x:v>
      </x:c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41">
        <x:f t="shared" si="0"/>
      </x:c>
      <x:c r="R15" s="44"/>
      <x:c r="S15" s="44"/>
      <x:c r="T15" s="50" t="n">
        <x:f>SUM(F15:S15)</x:f>
        <x:v>0</x:v>
      </x:c>
    </x:row>
  </x:sheetData>
  <x:mergeCells>
    <x:mergeCell ref="A1:T1"/>
    <x:mergeCell ref="A2:T2"/>
  </x:mergeCells>
  <x:dataValidations count="1">
    <x:dataValidation type="list" allowBlank="1" sqref="E4:E15">
      <x:formula1>"Pendente,Apurada"</x:formula1>
      <x:formula2>0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ColWidth="8.6640625" defaultRowHeight="14.399999618530273"/>
  <x:cols>
    <x:col min="1" max="1" width="7" customWidth="1"/>
    <x:col min="2" max="2" width="44" customWidth="1"/>
    <x:col min="3" max="3" width="8" customWidth="1"/>
    <x:col min="4" max="4" width="13" customWidth="1"/>
    <x:col min="5" max="5" width="11" customWidth="1"/>
    <x:col min="6" max="16" width="16" customWidth="1"/>
    <x:col min="17" max="17" width="13.75" hidden="0" customWidth="1"/>
    <x:col min="18" max="18" width="13.75" hidden="0" customWidth="1"/>
    <x:col min="19" max="19" width="13.75" hidden="0" customWidth="1"/>
    <x:col min="20" max="20" width="13.75" hidden="0" customWidth="1"/>
  </x:cols>
  <x:sheetData>
    <x:row r="1" ht="25.5" customHeight="1">
      <x:c r="A1" s="23" t="s">
        <x:v>91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</x:row>
    <x:row r="2" ht="25.5" customHeight="1">
      <x:c r="A2" s="30" t="s">
        <x:v>38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</x:row>
    <x:row r="3" ht="57.75" customHeight="1">
      <x:c r="A3" s="1" t="s">
        <x:v>3</x:v>
      </x:c>
      <x:c r="B3" s="1" t="s">
        <x:v>42</x:v>
      </x:c>
      <x:c r="C3" s="1" t="s">
        <x:v>43</x:v>
      </x:c>
      <x:c r="D3" s="1" t="s">
        <x:v>44</x:v>
      </x:c>
      <x:c r="E3" s="1" t="s">
        <x:v>45</x:v>
      </x:c>
      <x:c r="F3" s="1" t="s">
        <x:v>8</x:v>
      </x:c>
      <x:c r="G3" s="1" t="s">
        <x:v>9</x:v>
      </x:c>
      <x:c r="H3" s="1" t="s">
        <x:v>10</x:v>
      </x:c>
      <x:c r="I3" s="1" t="s">
        <x:v>11</x:v>
      </x:c>
      <x:c r="J3" s="1" t="s">
        <x:v>12</x:v>
      </x:c>
      <x:c r="K3" s="1" t="s">
        <x:v>13</x:v>
      </x:c>
      <x:c r="L3" s="1" t="s">
        <x:v>14</x:v>
      </x:c>
      <x:c r="M3" s="1" t="s">
        <x:v>15</x:v>
      </x:c>
      <x:c r="N3" s="1" t="s">
        <x:v>16</x:v>
      </x:c>
      <x:c r="O3" s="1" t="s">
        <x:v>17</x:v>
      </x:c>
      <x:c r="P3" s="1" t="s">
        <x:v>18</x:v>
      </x:c>
      <x:c r="Q3" s="31" t="str">
        <x:v>Dep. Federal
Wellington Roberto</x:v>
      </x:c>
      <x:c r="R3" s="31" t="str">
        <x:v>Dep. Federal
Wilson Santiago</x:v>
      </x:c>
      <x:c r="S3" s="31" t="str">
        <x:v>Dep. Federal
Aguinaldo Ribeiro</x:v>
      </x:c>
      <x:c r="T3" s="31" t="str">
        <x:v>Total lançado
(14 candidatos)</x:v>
      </x:c>
    </x:row>
    <x:row r="4">
      <x:c r="A4" s="11" t="s">
        <x:v>20</x:v>
      </x:c>
      <x:c r="B4" s="10" t="s">
        <x:v>92</x:v>
      </x:c>
      <x:c r="C4" s="11">
        <x:v>98</x:v>
      </x:c>
      <x:c r="D4" s="11">
        <x:v>1169</x:v>
      </x:c>
      <x:c r="E4" s="11" t="s">
        <x:v>47</x:v>
      </x:c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41">
        <x:f t="shared" ref="Q4:Q12" si="0">SUM(F4:P4)</x:f>
      </x:c>
      <x:c r="R4" s="44"/>
      <x:c r="S4" s="44"/>
      <x:c r="T4" s="50" t="n">
        <x:f>SUM(F4:S4)</x:f>
        <x:v>0</x:v>
      </x:c>
    </x:row>
    <x:row r="5">
      <x:c r="A5" s="7" t="s">
        <x:v>20</x:v>
      </x:c>
      <x:c r="B5" s="6" t="s">
        <x:v>92</x:v>
      </x:c>
      <x:c r="C5" s="7">
        <x:v>99</x:v>
      </x:c>
      <x:c r="D5" s="7">
        <x:v>1169</x:v>
      </x:c>
      <x:c r="E5" s="7" t="s">
        <x:v>47</x:v>
      </x:c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41">
        <x:f t="shared" si="0"/>
      </x:c>
      <x:c r="R5" s="44"/>
      <x:c r="S5" s="44"/>
      <x:c r="T5" s="50" t="n">
        <x:f>SUM(F5:S5)</x:f>
        <x:v>0</x:v>
      </x:c>
    </x:row>
    <x:row r="6">
      <x:c r="A6" s="11" t="s">
        <x:v>20</x:v>
      </x:c>
      <x:c r="B6" s="10" t="s">
        <x:v>92</x:v>
      </x:c>
      <x:c r="C6" s="11">
        <x:v>100</x:v>
      </x:c>
      <x:c r="D6" s="11">
        <x:v>1169</x:v>
      </x:c>
      <x:c r="E6" s="11" t="s">
        <x:v>47</x:v>
      </x:c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41">
        <x:f t="shared" si="0"/>
      </x:c>
      <x:c r="R6" s="44"/>
      <x:c r="S6" s="44"/>
      <x:c r="T6" s="50" t="n">
        <x:f>SUM(F6:S6)</x:f>
        <x:v>0</x:v>
      </x:c>
    </x:row>
    <x:row r="7">
      <x:c r="A7" s="7" t="s">
        <x:v>20</x:v>
      </x:c>
      <x:c r="B7" s="6" t="s">
        <x:v>92</x:v>
      </x:c>
      <x:c r="C7" s="7">
        <x:v>134</x:v>
      </x:c>
      <x:c r="D7" s="7">
        <x:v>1169</x:v>
      </x:c>
      <x:c r="E7" s="7" t="s">
        <x:v>47</x:v>
      </x:c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41">
        <x:f t="shared" si="0"/>
      </x:c>
      <x:c r="R7" s="44"/>
      <x:c r="S7" s="44"/>
      <x:c r="T7" s="50" t="n">
        <x:f>SUM(F7:S7)</x:f>
        <x:v>0</x:v>
      </x:c>
    </x:row>
    <x:row r="8">
      <x:c r="A8" s="11" t="s">
        <x:v>20</x:v>
      </x:c>
      <x:c r="B8" s="10" t="s">
        <x:v>93</x:v>
      </x:c>
      <x:c r="C8" s="11">
        <x:v>137</x:v>
      </x:c>
      <x:c r="D8" s="11">
        <x:v>1497</x:v>
      </x:c>
      <x:c r="E8" s="11" t="s">
        <x:v>47</x:v>
      </x:c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41">
        <x:f t="shared" si="0"/>
      </x:c>
      <x:c r="R8" s="44"/>
      <x:c r="S8" s="44"/>
      <x:c r="T8" s="50" t="n">
        <x:f>SUM(F8:S8)</x:f>
        <x:v>0</x:v>
      </x:c>
    </x:row>
    <x:row r="9">
      <x:c r="A9" s="7" t="s">
        <x:v>20</x:v>
      </x:c>
      <x:c r="B9" s="6" t="s">
        <x:v>93</x:v>
      </x:c>
      <x:c r="C9" s="7">
        <x:v>171</x:v>
      </x:c>
      <x:c r="D9" s="7">
        <x:v>1497</x:v>
      </x:c>
      <x:c r="E9" s="7" t="s">
        <x:v>47</x:v>
      </x:c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41">
        <x:f t="shared" si="0"/>
      </x:c>
      <x:c r="R9" s="44"/>
      <x:c r="S9" s="44"/>
      <x:c r="T9" s="50" t="n">
        <x:f>SUM(F9:S9)</x:f>
        <x:v>0</x:v>
      </x:c>
    </x:row>
    <x:row r="10">
      <x:c r="A10" s="11" t="s">
        <x:v>20</x:v>
      </x:c>
      <x:c r="B10" s="10" t="s">
        <x:v>93</x:v>
      </x:c>
      <x:c r="C10" s="11">
        <x:v>180</x:v>
      </x:c>
      <x:c r="D10" s="11">
        <x:v>1497</x:v>
      </x:c>
      <x:c r="E10" s="11" t="s">
        <x:v>47</x:v>
      </x:c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41">
        <x:f t="shared" si="0"/>
      </x:c>
      <x:c r="R10" s="44"/>
      <x:c r="S10" s="44"/>
      <x:c r="T10" s="50" t="n">
        <x:f>SUM(F10:S10)</x:f>
        <x:v>0</x:v>
      </x:c>
    </x:row>
    <x:row r="11">
      <x:c r="A11" s="7" t="s">
        <x:v>20</x:v>
      </x:c>
      <x:c r="B11" s="6" t="s">
        <x:v>93</x:v>
      </x:c>
      <x:c r="C11" s="7">
        <x:v>183</x:v>
      </x:c>
      <x:c r="D11" s="7">
        <x:v>1497</x:v>
      </x:c>
      <x:c r="E11" s="7" t="s">
        <x:v>47</x:v>
      </x:c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41">
        <x:f t="shared" si="0"/>
      </x:c>
      <x:c r="R11" s="44"/>
      <x:c r="S11" s="44"/>
      <x:c r="T11" s="50" t="n">
        <x:f>SUM(F11:S11)</x:f>
        <x:v>0</x:v>
      </x:c>
    </x:row>
    <x:row r="12">
      <x:c r="A12" s="11" t="s">
        <x:v>20</x:v>
      </x:c>
      <x:c r="B12" s="10" t="s">
        <x:v>93</x:v>
      </x:c>
      <x:c r="C12" s="11">
        <x:v>193</x:v>
      </x:c>
      <x:c r="D12" s="11">
        <x:v>1497</x:v>
      </x:c>
      <x:c r="E12" s="11" t="s">
        <x:v>47</x:v>
      </x:c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41">
        <x:f t="shared" si="0"/>
      </x:c>
      <x:c r="R12" s="44"/>
      <x:c r="S12" s="44"/>
      <x:c r="T12" s="50" t="n">
        <x:f>SUM(F12:S12)</x:f>
        <x:v>0</x:v>
      </x:c>
    </x:row>
  </x:sheetData>
  <x:mergeCells>
    <x:mergeCell ref="A1:T1"/>
    <x:mergeCell ref="A2:T2"/>
  </x:mergeCells>
  <x:dataValidations count="1">
    <x:dataValidation type="list" allowBlank="1" sqref="E4:E12">
      <x:formula1>"Pendente,Apurada"</x:formula1>
      <x:formula2>0</x:formula2>
    </x:dataValidation>
  </x:dataValidations>
  <x:pageMargins left="0.7" right="0.7" top="0.75" bottom="0.75" header="0.3" footer="0.3"/>
</x:worksheet>
</file>