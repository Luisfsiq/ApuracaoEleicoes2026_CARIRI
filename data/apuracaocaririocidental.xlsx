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Eleições 2026\Eleições 2022\"/>
    </mc:Choice>
  </mc:AlternateContent>
  <xr:revisionPtr revIDLastSave="0" documentId="13_ncr:1_{D4BCE848-3030-490A-9750-48E440349C2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Resumo por Município" sheetId="1" r:id="rId1"/>
    <sheet name="Monteiro" sheetId="2" r:id="rId2"/>
    <sheet name="Sumé" sheetId="3" r:id="rId3"/>
    <sheet name="Camalaú" sheetId="4" r:id="rId4"/>
    <sheet name="Congo" sheetId="5" r:id="rId5"/>
    <sheet name="Prata" sheetId="6" r:id="rId6"/>
    <sheet name="São João do Tigre" sheetId="7" r:id="rId7"/>
    <sheet name="São Sebastião do Umbuzeiro" sheetId="8" r:id="rId8"/>
    <sheet name="Ouro Velho" sheetId="9" r:id="rId9"/>
    <sheet name="Zabelê" sheetId="10" r:id="rId10"/>
  </sheets>
  <definedNames>
    <definedName name="_xlnm._FilterDatabase" localSheetId="3" hidden="1">Camalaú!$A$3:$O$22</definedName>
    <definedName name="_xlnm._FilterDatabase" localSheetId="4" hidden="1">Congo!$A$3:$O$19</definedName>
    <definedName name="_xlnm._FilterDatabase" localSheetId="1" hidden="1">Monteiro!$A$4:$O$102</definedName>
    <definedName name="_xlnm._FilterDatabase" localSheetId="8" hidden="1">'Ouro Velho'!$A$3:$O$15</definedName>
    <definedName name="_xlnm._FilterDatabase" localSheetId="5" hidden="1">Prata!$A$3:$O$17</definedName>
    <definedName name="_xlnm._FilterDatabase" localSheetId="6" hidden="1">'São João do Tigre'!$A$3:$O$16</definedName>
    <definedName name="_xlnm._FilterDatabase" localSheetId="7" hidden="1">'São Sebastião do Umbuzeiro'!$A$3:$O$15</definedName>
    <definedName name="_xlnm._FilterDatabase" localSheetId="2" hidden="1">Sumé!$A$3:$O$55</definedName>
    <definedName name="_xlnm._FilterDatabase" localSheetId="9" hidden="1">Zabelê!$A$3:$O$12</definedName>
    <definedName name="_xlnm.Print_Titles" localSheetId="3">Camalaú!$3:$3</definedName>
    <definedName name="_xlnm.Print_Titles" localSheetId="4">Congo!$3:$3</definedName>
    <definedName name="_xlnm.Print_Titles" localSheetId="1">Monteiro!$4:$4</definedName>
    <definedName name="_xlnm.Print_Titles" localSheetId="8">'Ouro Velho'!$3:$3</definedName>
    <definedName name="_xlnm.Print_Titles" localSheetId="5">Prata!$3:$3</definedName>
    <definedName name="_xlnm.Print_Titles" localSheetId="6">'São João do Tigre'!$3:$3</definedName>
    <definedName name="_xlnm.Print_Titles" localSheetId="7">'São Sebastião do Umbuzeiro'!$3:$3</definedName>
    <definedName name="_xlnm.Print_Titles" localSheetId="2">Sumé!$3:$3</definedName>
    <definedName name="_xlnm.Print_Titles" localSheetId="9">Zabelê!$3:$3</definedName>
  </definedNames>
  <calcPr calcId="181029" iterateDelta="1E-4"/>
</workbook>
</file>

<file path=xl/calcChain.xml><?xml version="1.0" encoding="utf-8"?>
<calcChain xmlns="http://schemas.openxmlformats.org/spreadsheetml/2006/main">
  <c r="Q12" i="10" l="1"/>
  <c r="Q11" i="10"/>
  <c r="Q10" i="10"/>
  <c r="Q9" i="10"/>
  <c r="Q8" i="10"/>
  <c r="Q7" i="10"/>
  <c r="Q6" i="10"/>
  <c r="Q5" i="10"/>
  <c r="Q4" i="10"/>
  <c r="Q15" i="9"/>
  <c r="Q14" i="9"/>
  <c r="Q13" i="9"/>
  <c r="Q12" i="9"/>
  <c r="Q11" i="9"/>
  <c r="Q10" i="9"/>
  <c r="Q9" i="9"/>
  <c r="Q8" i="9"/>
  <c r="Q7" i="9"/>
  <c r="Q6" i="9"/>
  <c r="Q5" i="9"/>
  <c r="Q4" i="9"/>
  <c r="Q15" i="8"/>
  <c r="Q14" i="8"/>
  <c r="Q13" i="8"/>
  <c r="Q12" i="8"/>
  <c r="Q11" i="8"/>
  <c r="Q10" i="8"/>
  <c r="Q9" i="8"/>
  <c r="Q8" i="8"/>
  <c r="Q7" i="8"/>
  <c r="Q6" i="8"/>
  <c r="Q5" i="8"/>
  <c r="Q4" i="8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3" i="2"/>
  <c r="K14" i="1"/>
  <c r="D14" i="1"/>
  <c r="C14" i="1"/>
  <c r="Q13" i="1"/>
  <c r="P13" i="1"/>
  <c r="O13" i="1"/>
  <c r="N13" i="1"/>
  <c r="M13" i="1"/>
  <c r="L13" i="1"/>
  <c r="K13" i="1"/>
  <c r="J13" i="1"/>
  <c r="I13" i="1"/>
  <c r="H13" i="1"/>
  <c r="G13" i="1"/>
  <c r="E13" i="1"/>
  <c r="F13" i="1" s="1"/>
  <c r="Q12" i="1"/>
  <c r="P12" i="1"/>
  <c r="O12" i="1"/>
  <c r="N12" i="1"/>
  <c r="M12" i="1"/>
  <c r="L12" i="1"/>
  <c r="K12" i="1"/>
  <c r="J12" i="1"/>
  <c r="I12" i="1"/>
  <c r="H12" i="1"/>
  <c r="G12" i="1"/>
  <c r="E12" i="1"/>
  <c r="F12" i="1" s="1"/>
  <c r="Q11" i="1"/>
  <c r="P11" i="1"/>
  <c r="O11" i="1"/>
  <c r="N11" i="1"/>
  <c r="M11" i="1"/>
  <c r="L11" i="1"/>
  <c r="K11" i="1"/>
  <c r="J11" i="1"/>
  <c r="I11" i="1"/>
  <c r="H11" i="1"/>
  <c r="G11" i="1"/>
  <c r="E11" i="1"/>
  <c r="F11" i="1" s="1"/>
  <c r="Q10" i="1"/>
  <c r="P10" i="1"/>
  <c r="O10" i="1"/>
  <c r="N10" i="1"/>
  <c r="M10" i="1"/>
  <c r="L10" i="1"/>
  <c r="K10" i="1"/>
  <c r="J10" i="1"/>
  <c r="I10" i="1"/>
  <c r="H10" i="1"/>
  <c r="G10" i="1"/>
  <c r="E10" i="1"/>
  <c r="F10" i="1" s="1"/>
  <c r="Q9" i="1"/>
  <c r="P9" i="1"/>
  <c r="O9" i="1"/>
  <c r="N9" i="1"/>
  <c r="M9" i="1"/>
  <c r="L9" i="1"/>
  <c r="K9" i="1"/>
  <c r="J9" i="1"/>
  <c r="I9" i="1"/>
  <c r="H9" i="1"/>
  <c r="G9" i="1"/>
  <c r="E9" i="1"/>
  <c r="F9" i="1" s="1"/>
  <c r="Q8" i="1"/>
  <c r="P8" i="1"/>
  <c r="O8" i="1"/>
  <c r="N8" i="1"/>
  <c r="M8" i="1"/>
  <c r="L8" i="1"/>
  <c r="K8" i="1"/>
  <c r="J8" i="1"/>
  <c r="I8" i="1"/>
  <c r="H8" i="1"/>
  <c r="G8" i="1"/>
  <c r="E8" i="1"/>
  <c r="F8" i="1" s="1"/>
  <c r="Q7" i="1"/>
  <c r="P7" i="1"/>
  <c r="O7" i="1"/>
  <c r="N7" i="1"/>
  <c r="M7" i="1"/>
  <c r="L7" i="1"/>
  <c r="K7" i="1"/>
  <c r="J7" i="1"/>
  <c r="I7" i="1"/>
  <c r="H7" i="1"/>
  <c r="G7" i="1"/>
  <c r="E7" i="1"/>
  <c r="F7" i="1" s="1"/>
  <c r="Q6" i="1"/>
  <c r="P6" i="1"/>
  <c r="O6" i="1"/>
  <c r="N6" i="1"/>
  <c r="M6" i="1"/>
  <c r="L6" i="1"/>
  <c r="K6" i="1"/>
  <c r="J6" i="1"/>
  <c r="I6" i="1"/>
  <c r="H6" i="1"/>
  <c r="G6" i="1"/>
  <c r="E6" i="1"/>
  <c r="F6" i="1" s="1"/>
  <c r="Q5" i="1"/>
  <c r="Q14" i="1" s="1"/>
  <c r="P5" i="1"/>
  <c r="P14" i="1" s="1"/>
  <c r="O5" i="1"/>
  <c r="O14" i="1" s="1"/>
  <c r="N5" i="1"/>
  <c r="M5" i="1"/>
  <c r="M14" i="1" s="1"/>
  <c r="L5" i="1"/>
  <c r="L14" i="1" s="1"/>
  <c r="K5" i="1"/>
  <c r="J5" i="1"/>
  <c r="J14" i="1" s="1"/>
  <c r="I5" i="1"/>
  <c r="I14" i="1" s="1"/>
  <c r="H5" i="1"/>
  <c r="H14" i="1" s="1"/>
  <c r="G5" i="1"/>
  <c r="G14" i="1" s="1"/>
  <c r="E5" i="1"/>
  <c r="E14" i="1" s="1"/>
  <c r="F14" i="1" s="1"/>
  <c r="N14" i="1" l="1"/>
  <c r="B20" i="1"/>
  <c r="B18" i="1"/>
  <c r="B19" i="1"/>
  <c r="B21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3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Linha ilustrativa — não é dado real. Mostra o formato esperado de preenchimento. Pode apagar os valores das colunas F a N (mantenha a fórmula da coluna Total, em O).</t>
        </r>
      </text>
    </comment>
  </commentList>
</comments>
</file>

<file path=xl/sharedStrings.xml><?xml version="1.0" encoding="utf-8"?>
<sst xmlns="http://schemas.openxmlformats.org/spreadsheetml/2006/main" count="953" uniqueCount="95">
  <si>
    <t>Resumo por município — Cariri Ocidental Paraibano</t>
  </si>
  <si>
    <t>Cada município tem sua própria aba (uma linha por seção). Esta aba soma tudo automaticamente — não edite as células abaixo.</t>
  </si>
  <si>
    <t>Município</t>
  </si>
  <si>
    <t>Zona</t>
  </si>
  <si>
    <t>Locais</t>
  </si>
  <si>
    <t>Seções</t>
  </si>
  <si>
    <t>Seções apuradas</t>
  </si>
  <si>
    <t>% apurado</t>
  </si>
  <si>
    <t>Presidente
Lula (PT)</t>
  </si>
  <si>
    <t>Presidente
Flávio Bolsonaro (PL)</t>
  </si>
  <si>
    <t>Governador
Lucas Ribeiro (PP)</t>
  </si>
  <si>
    <t>Governador
Cícero Lucena (MDB)</t>
  </si>
  <si>
    <t>Governador
Efraim Filho (PL)</t>
  </si>
  <si>
    <t>Senador
João Azevêdo (PSB)</t>
  </si>
  <si>
    <t>Senador
Veneziano Vital do Rêgo (MDB)</t>
  </si>
  <si>
    <t>Senador
Nabor Wanderley (Republicanos)</t>
  </si>
  <si>
    <t>Dep. Estadual
Michel Henrique (PP)</t>
  </si>
  <si>
    <t>Dep. Estadual
Anna Lorena (PP)</t>
  </si>
  <si>
    <t>Dep. Estadual
Dr. Romualdo (—)</t>
  </si>
  <si>
    <t>Monteiro</t>
  </si>
  <si>
    <t>29ª</t>
  </si>
  <si>
    <t>Sumé</t>
  </si>
  <si>
    <t>43ª</t>
  </si>
  <si>
    <t>Camalaú</t>
  </si>
  <si>
    <t>Congo</t>
  </si>
  <si>
    <t>Prata</t>
  </si>
  <si>
    <t>São João do Tigre</t>
  </si>
  <si>
    <t>São Sebastião do Umbuzeiro</t>
  </si>
  <si>
    <t>Ouro Velho</t>
  </si>
  <si>
    <t>Zabelê</t>
  </si>
  <si>
    <t>Total Cariri Ocidental</t>
  </si>
  <si>
    <t>—</t>
  </si>
  <si>
    <t>Quem lidera cada disputa no Cariri Ocidental (a partir dos votos já lançados)</t>
  </si>
  <si>
    <t>Presidente</t>
  </si>
  <si>
    <t>Governador</t>
  </si>
  <si>
    <t>Senador</t>
  </si>
  <si>
    <t>Dep. Estadual</t>
  </si>
  <si>
    <t>Apuração 2026 — Monteiro (Zona 29ª)</t>
  </si>
  <si>
    <t>Preencha só as células amarelas à medida que os boletins saírem. "Eleitores do local" é o total do local de votação inteiro (reúne várias seções), não o eleitorado de uma seção isolada. Marque "Status" = Apurada quando a seção sair — a aba Resumo soma tudo sozinha.</t>
  </si>
  <si>
    <t>EXEMPLO</t>
  </si>
  <si>
    <t>EMEF Tiradentes</t>
  </si>
  <si>
    <t>Apurada</t>
  </si>
  <si>
    <t>Local de votação</t>
  </si>
  <si>
    <t>Seção</t>
  </si>
  <si>
    <t>Eleitores do local
(referência)</t>
  </si>
  <si>
    <t>Status</t>
  </si>
  <si>
    <t>Total lançado
(11 candidatos)</t>
  </si>
  <si>
    <t>UEPB Campus VI</t>
  </si>
  <si>
    <t>Pendente</t>
  </si>
  <si>
    <t>Colégio Nossa Senhora de Lourdes</t>
  </si>
  <si>
    <t>EMEF II Profª Maria do Socorro Aragão Liberal</t>
  </si>
  <si>
    <t>UBS José Genival de Souza (Boa Esperança)</t>
  </si>
  <si>
    <t>Posto de Saúde Pedro Domingos da Silva (Bom Nome)</t>
  </si>
  <si>
    <t>EMEIEF Tobias Remígio Gomes (Cacimba de Cima)</t>
  </si>
  <si>
    <t>UBS Júlio Francisco de Souza</t>
  </si>
  <si>
    <t>Creche Municipal Francisca Mineiro Silva</t>
  </si>
  <si>
    <t>EMEF Profª Maria Lauriceia Freitas</t>
  </si>
  <si>
    <t>Instituto Educacional José Pereira do Nascimento</t>
  </si>
  <si>
    <t>E.E.C.I.T. José Leite de Souza</t>
  </si>
  <si>
    <t>IFPB — Campus Monteiro</t>
  </si>
  <si>
    <t>EMEF Santa Filomena</t>
  </si>
  <si>
    <t>Cadeia Pública de Monteiro-PB</t>
  </si>
  <si>
    <t>EMEF Laura Lopes Frazão (Queimadas)</t>
  </si>
  <si>
    <t>Esc. Mun. Laura Alves de Sousa (Santa Catarina)</t>
  </si>
  <si>
    <t>Apuração 2026 — Sumé (Zona 43ª)</t>
  </si>
  <si>
    <t>E.C.I.T. José Gonçalves de Queiroz</t>
  </si>
  <si>
    <t>Escola de Campo de Pio X</t>
  </si>
  <si>
    <t>U.M.E.I.E.F. Zélia Braz Vieira da Silva</t>
  </si>
  <si>
    <t>U.M.E.I.E.F. Maria Leite Rafael</t>
  </si>
  <si>
    <t>U.M.E.I.E.F. Gonçala Rodrigues de Freitas</t>
  </si>
  <si>
    <t>U.M.E.F. Padre Paulo Roberto de Oliveira</t>
  </si>
  <si>
    <t>Apuração 2026 — Camalaú (Zona 29ª)</t>
  </si>
  <si>
    <t>Grupo Escolar Severino Lucas da Silva</t>
  </si>
  <si>
    <t>E.C.I.T.E. Pedro Bezerra Filho</t>
  </si>
  <si>
    <t>EMEF Francisco Chaves Ventura</t>
  </si>
  <si>
    <t>Apuração 2026 — Congo (Zona 43ª)</t>
  </si>
  <si>
    <t>Escola Municipal de Ensino Fundamental do Congo</t>
  </si>
  <si>
    <t>E.C.I.T. Manoel Alves Campos</t>
  </si>
  <si>
    <t>Apuração 2026 — Prata (Zona 43ª)</t>
  </si>
  <si>
    <t>E.C.I. Francisco de Assis Gonzaga</t>
  </si>
  <si>
    <t>E.M.E.I.F. Profª Maria de Lourdes de Menezes</t>
  </si>
  <si>
    <t>Apuração 2026 — São João do Tigre (Zona 29ª)</t>
  </si>
  <si>
    <t>Escola Municipal Pedro Bezerra Filho</t>
  </si>
  <si>
    <t>Escola Municipal Manoel Ferreira da Silva</t>
  </si>
  <si>
    <t>E.E.E.F.M. Mário de Oliveira Chaves</t>
  </si>
  <si>
    <t>Apuração 2026 — São Sebastião do Umbuzeiro (Zona 29ª)</t>
  </si>
  <si>
    <t>E.M.E.I.F. Pedro Pedrosa Amador</t>
  </si>
  <si>
    <t>UBS de Mão Beijada</t>
  </si>
  <si>
    <t>E.C.I. Malaquias Batista Feitosa</t>
  </si>
  <si>
    <t>Apuração 2026 — Ouro Velho (Zona 43ª)</t>
  </si>
  <si>
    <t>Esc. Mun. em Tempo Integral Jacinto Dantas</t>
  </si>
  <si>
    <t>Secretaria Municipal de Agricultura</t>
  </si>
  <si>
    <t>Apuração 2026 — Zabelê (Zona 29ª)</t>
  </si>
  <si>
    <t>E.M.E.I.F. Maria Bezerra da Silva</t>
  </si>
  <si>
    <t>E.C.I. Maria Celeste do Nascimento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</si>
</sst>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6E6151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name val="Arial"/>
      <charset val="1"/>
    </font>
    <font>
      <b/>
      <sz val="10"/>
      <color rgb="FFB7215F"/>
      <name val="Arial"/>
      <charset val="1"/>
    </font>
    <font>
      <b/>
      <i/>
      <sz val="9"/>
      <color rgb="FFA8432B"/>
      <name val="Arial"/>
      <charset val="1"/>
    </font>
    <font>
      <i/>
      <sz val="10"/>
      <color rgb="FFA8432B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B7215F"/>
        <bgColor rgb="FF993366"/>
      </patternFill>
    </fill>
    <fill>
      <patternFill patternType="solid">
        <fgColor rgb="FF2A2118"/>
        <bgColor rgb="FF333333"/>
      </patternFill>
    </fill>
    <fill>
      <patternFill patternType="solid">
        <fgColor rgb="FFFBE4EE"/>
        <bgColor rgb="FFF4F1EA"/>
      </patternFill>
    </fill>
    <fill>
      <patternFill patternType="solid">
        <fgColor rgb="FFF4F1EA"/>
        <bgColor rgb="FFFBE4EE"/>
      </patternFill>
    </fill>
    <fill>
      <patternFill patternType="solid">
        <fgColor rgb="FFE0D6C4"/>
        <bgColor rgb="FFFBE4EE"/>
      </patternFill>
    </fill>
    <fill>
      <patternFill patternType="solid">
        <fgColor rgb="FFFFF6CC"/>
        <bgColor rgb="FFF4F1EA"/>
      </patternFill>
    </fill>
  </fills>
  <borders count="4">
    <border>
      <left/>
      <right/>
      <top/>
      <bottom/>
      <diagonal/>
    </border>
    <border>
      <left style="thin">
        <color rgb="FFC9BFA8"/>
      </left>
      <right style="thin">
        <color rgb="FFC9BFA8"/>
      </right>
      <top style="thin">
        <color rgb="FFC9BFA8"/>
      </top>
      <bottom style="thin">
        <color rgb="FFC9BFA8"/>
      </bottom>
      <diagonal/>
    </border>
    <border>
      <left/>
      <right/>
      <top style="thin">
        <color rgb="FFC9BFA8"/>
      </top>
      <bottom style="thin">
        <color rgb="FFC9BFA8"/>
      </bottom>
      <diagonal/>
    </border>
    <border>
      <left/>
      <right style="thin">
        <color rgb="FFC9BFA8"/>
      </right>
      <top style="thin">
        <color rgb="FFC9BFA8"/>
      </top>
      <bottom style="thin">
        <color rgb="FFC9BFA8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9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6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 inden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7" fillId="0" borderId="1" xfId="0" applyFont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 indent="1"/>
    </xf>
    <xf numFmtId="0" fontId="6" fillId="0" borderId="0" xfId="0" applyFont="1"/>
    <xf numFmtId="0" fontId="2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FA8"/>
      <rgbColor rgb="FF808080"/>
      <rgbColor rgb="FF9999FF"/>
      <rgbColor rgb="FFB7215F"/>
      <rgbColor rgb="FFFFF6CC"/>
      <rgbColor rgb="FFF4F1EA"/>
      <rgbColor rgb="FF660066"/>
      <rgbColor rgb="FFFF8080"/>
      <rgbColor rgb="FF0066CC"/>
      <rgbColor rgb="FFFB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0D6C4"/>
      <rgbColor rgb="FF3366FF"/>
      <rgbColor rgb="FF33CCCC"/>
      <rgbColor rgb="FF99CC00"/>
      <rgbColor rgb="FFFFCC00"/>
      <rgbColor rgb="FFFF9900"/>
      <rgbColor rgb="FFFF6600"/>
      <rgbColor rgb="FF6E6151"/>
      <rgbColor rgb="FF969696"/>
      <rgbColor rgb="FF003366"/>
      <rgbColor rgb="FF339966"/>
      <rgbColor rgb="FF003300"/>
      <rgbColor rgb="FF2A2118"/>
      <rgbColor rgb="FFA843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21"/>
  <sheetViews>
    <sheetView zoomScaleNormal="100" workbookViewId="0">
      <pane ySplit="4" topLeftCell="A5" activePane="bottomLeft" state="frozen"/>
      <selection pane="bottomLeft" activeCell="A13" sqref="A13"/>
    </sheetView>
  </sheetViews>
  <sheetFormatPr defaultColWidth="8.6640625" defaultRowHeight="14.4" x14ac:dyDescent="0.3"/>
  <cols>
    <col min="1" max="1" width="27" customWidth="1"/>
    <col min="2" max="2" width="8" customWidth="1"/>
    <col min="3" max="4" width="9" customWidth="1"/>
    <col min="5" max="5" width="13" customWidth="1"/>
    <col min="6" max="6" width="11" customWidth="1"/>
    <col min="7" max="15" width="16" customWidth="1"/>
    <col min="17" max="17" width="10.33203125" customWidth="1"/>
  </cols>
  <sheetData>
    <row r="1" spans="1:17" ht="25.5" customHeight="1" x14ac:dyDescent="0.3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x14ac:dyDescent="0.3">
      <c r="A2" s="28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spans="1:17" ht="76.8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x14ac:dyDescent="0.3">
      <c r="A5" s="2" t="s">
        <v>19</v>
      </c>
      <c r="B5" s="3" t="s">
        <v>20</v>
      </c>
      <c r="C5" s="3">
        <v>17</v>
      </c>
      <c r="D5" s="3">
        <v>98</v>
      </c>
      <c r="E5" s="3">
        <f>COUNTIF(Monteiro!$E$5:$E$102,"Apurada")</f>
        <v>0</v>
      </c>
      <c r="F5" s="4">
        <f t="shared" ref="F5:F14" si="0">E5/D5</f>
        <v>0</v>
      </c>
      <c r="G5" s="5">
        <f>SUM(Monteiro!$F$5:$F$102)</f>
        <v>0</v>
      </c>
      <c r="H5" s="5">
        <f>SUM(Monteiro!$G$5:$G$102)</f>
        <v>0</v>
      </c>
      <c r="I5" s="5">
        <f>SUM(Monteiro!$H$5:$H$102)</f>
        <v>0</v>
      </c>
      <c r="J5" s="5">
        <f>SUM(Monteiro!$I$5:$I$102)</f>
        <v>0</v>
      </c>
      <c r="K5" s="5">
        <f>SUM(Monteiro!$J$5:$J$102)</f>
        <v>0</v>
      </c>
      <c r="L5" s="5">
        <f>SUM(Monteiro!$K$5:$K$102)</f>
        <v>0</v>
      </c>
      <c r="M5" s="5">
        <f>SUM(Monteiro!$L$5:$L$102)</f>
        <v>0</v>
      </c>
      <c r="N5" s="5">
        <f>SUM(Monteiro!$M$5:$M$102)</f>
        <v>0</v>
      </c>
      <c r="O5" s="5">
        <f>SUM(Monteiro!$N$5:$N$102)</f>
        <v>0</v>
      </c>
      <c r="P5" s="5">
        <f>SUM(Monteiro!$O$5:$O$102)</f>
        <v>0</v>
      </c>
      <c r="Q5" s="5">
        <f>SUM(Monteiro!$P$5:$P$102)</f>
        <v>0</v>
      </c>
    </row>
    <row r="6" spans="1:17" x14ac:dyDescent="0.3">
      <c r="A6" s="6" t="s">
        <v>21</v>
      </c>
      <c r="B6" s="7" t="s">
        <v>22</v>
      </c>
      <c r="C6" s="7">
        <v>6</v>
      </c>
      <c r="D6" s="7">
        <v>52</v>
      </c>
      <c r="E6" s="7">
        <f>COUNTIF(Sumé!$E$4:$E$55,"Apurada")</f>
        <v>0</v>
      </c>
      <c r="F6" s="8">
        <f t="shared" si="0"/>
        <v>0</v>
      </c>
      <c r="G6" s="9">
        <f>SUM(Sumé!$F$4:$F$55)</f>
        <v>0</v>
      </c>
      <c r="H6" s="9">
        <f>SUM(Sumé!$G$4:$G$55)</f>
        <v>0</v>
      </c>
      <c r="I6" s="9">
        <f>SUM(Sumé!$H$4:$H$55)</f>
        <v>0</v>
      </c>
      <c r="J6" s="9">
        <f>SUM(Sumé!$I$4:$I$55)</f>
        <v>0</v>
      </c>
      <c r="K6" s="9">
        <f>SUM(Sumé!$J$4:$J$55)</f>
        <v>0</v>
      </c>
      <c r="L6" s="9">
        <f>SUM(Sumé!$K$4:$K$55)</f>
        <v>0</v>
      </c>
      <c r="M6" s="9">
        <f>SUM(Sumé!$L$4:$L$55)</f>
        <v>0</v>
      </c>
      <c r="N6" s="9">
        <f>SUM(Sumé!$M$4:$M$55)</f>
        <v>0</v>
      </c>
      <c r="O6" s="9">
        <f>SUM(Sumé!$N$4:$N$55)</f>
        <v>0</v>
      </c>
      <c r="P6" s="9">
        <f>SUM(Sumé!$O$4:$O$55)</f>
        <v>0</v>
      </c>
      <c r="Q6" s="9">
        <f>SUM(Sumé!$P$4:$P$55)</f>
        <v>0</v>
      </c>
    </row>
    <row r="7" spans="1:17" x14ac:dyDescent="0.3">
      <c r="A7" s="10" t="s">
        <v>23</v>
      </c>
      <c r="B7" s="11" t="s">
        <v>20</v>
      </c>
      <c r="C7" s="11">
        <v>3</v>
      </c>
      <c r="D7" s="11">
        <v>19</v>
      </c>
      <c r="E7" s="11">
        <f>COUNTIF(Camalaú!$E$4:$E$22,"Apurada")</f>
        <v>0</v>
      </c>
      <c r="F7" s="12">
        <f t="shared" si="0"/>
        <v>0</v>
      </c>
      <c r="G7" s="13">
        <f>SUM(Camalaú!$F$4:$F$22)</f>
        <v>0</v>
      </c>
      <c r="H7" s="13">
        <f>SUM(Camalaú!$G$4:$G$22)</f>
        <v>0</v>
      </c>
      <c r="I7" s="13">
        <f>SUM(Camalaú!$H$4:$H$22)</f>
        <v>0</v>
      </c>
      <c r="J7" s="13">
        <f>SUM(Camalaú!$I$4:$I$22)</f>
        <v>0</v>
      </c>
      <c r="K7" s="13">
        <f>SUM(Camalaú!$J$4:$J$22)</f>
        <v>0</v>
      </c>
      <c r="L7" s="13">
        <f>SUM(Camalaú!$K$4:$K$22)</f>
        <v>0</v>
      </c>
      <c r="M7" s="13">
        <f>SUM(Camalaú!$L$4:$L$22)</f>
        <v>0</v>
      </c>
      <c r="N7" s="13">
        <f>SUM(Camalaú!$M$4:$M$22)</f>
        <v>0</v>
      </c>
      <c r="O7" s="13">
        <f>SUM(Camalaú!$N$4:$N$22)</f>
        <v>0</v>
      </c>
      <c r="P7" s="13">
        <f>SUM(Camalaú!$O$4:$O$22)</f>
        <v>0</v>
      </c>
      <c r="Q7" s="13">
        <f>SUM(Camalaú!$P$4:$P$22)</f>
        <v>0</v>
      </c>
    </row>
    <row r="8" spans="1:17" x14ac:dyDescent="0.3">
      <c r="A8" s="6" t="s">
        <v>24</v>
      </c>
      <c r="B8" s="7" t="s">
        <v>22</v>
      </c>
      <c r="C8" s="7">
        <v>2</v>
      </c>
      <c r="D8" s="7">
        <v>16</v>
      </c>
      <c r="E8" s="7">
        <f>COUNTIF(Congo!$E$4:$E$19,"Apurada")</f>
        <v>0</v>
      </c>
      <c r="F8" s="8">
        <f t="shared" si="0"/>
        <v>0</v>
      </c>
      <c r="G8" s="9">
        <f>SUM(Congo!$F$4:$F$19)</f>
        <v>0</v>
      </c>
      <c r="H8" s="9">
        <f>SUM(Congo!$G$4:$G$19)</f>
        <v>0</v>
      </c>
      <c r="I8" s="9">
        <f>SUM(Congo!$H$4:$H$19)</f>
        <v>0</v>
      </c>
      <c r="J8" s="9">
        <f>SUM(Congo!$I$4:$I$19)</f>
        <v>0</v>
      </c>
      <c r="K8" s="9">
        <f>SUM(Congo!$J$4:$J$19)</f>
        <v>0</v>
      </c>
      <c r="L8" s="9">
        <f>SUM(Congo!$K$4:$K$19)</f>
        <v>0</v>
      </c>
      <c r="M8" s="9">
        <f>SUM(Congo!$L$4:$L$19)</f>
        <v>0</v>
      </c>
      <c r="N8" s="9">
        <f>SUM(Congo!$M$4:$M$19)</f>
        <v>0</v>
      </c>
      <c r="O8" s="9">
        <f>SUM(Congo!$N$4:$N$19)</f>
        <v>0</v>
      </c>
      <c r="P8" s="9">
        <f>SUM(Congo!$O$4:$O$19)</f>
        <v>0</v>
      </c>
      <c r="Q8" s="9">
        <f>SUM(Congo!$P$4:$P$19)</f>
        <v>0</v>
      </c>
    </row>
    <row r="9" spans="1:17" x14ac:dyDescent="0.3">
      <c r="A9" s="10" t="s">
        <v>25</v>
      </c>
      <c r="B9" s="11" t="s">
        <v>22</v>
      </c>
      <c r="C9" s="11">
        <v>2</v>
      </c>
      <c r="D9" s="11">
        <v>14</v>
      </c>
      <c r="E9" s="11">
        <f>COUNTIF(Prata!$E$4:$E$17,"Apurada")</f>
        <v>0</v>
      </c>
      <c r="F9" s="12">
        <f t="shared" si="0"/>
        <v>0</v>
      </c>
      <c r="G9" s="13">
        <f>SUM(Prata!$F$4:$F$17)</f>
        <v>0</v>
      </c>
      <c r="H9" s="13">
        <f>SUM(Prata!$G$4:$G$17)</f>
        <v>0</v>
      </c>
      <c r="I9" s="13">
        <f>SUM(Prata!$H$4:$H$17)</f>
        <v>0</v>
      </c>
      <c r="J9" s="13">
        <f>SUM(Prata!$I$4:$I$17)</f>
        <v>0</v>
      </c>
      <c r="K9" s="13">
        <f>SUM(Prata!$J$4:$J$17)</f>
        <v>0</v>
      </c>
      <c r="L9" s="13">
        <f>SUM(Prata!$K$4:$K$17)</f>
        <v>0</v>
      </c>
      <c r="M9" s="13">
        <f>SUM(Prata!$L$4:$L$17)</f>
        <v>0</v>
      </c>
      <c r="N9" s="13">
        <f>SUM(Prata!$M$4:$M$17)</f>
        <v>0</v>
      </c>
      <c r="O9" s="13">
        <f>SUM(Prata!$N$4:$N$17)</f>
        <v>0</v>
      </c>
      <c r="P9" s="13">
        <f>SUM(Prata!$O$4:$O$17)</f>
        <v>0</v>
      </c>
      <c r="Q9" s="13">
        <f>SUM(Prata!$P$4:$P$17)</f>
        <v>0</v>
      </c>
    </row>
    <row r="10" spans="1:17" x14ac:dyDescent="0.3">
      <c r="A10" s="6" t="s">
        <v>26</v>
      </c>
      <c r="B10" s="7" t="s">
        <v>20</v>
      </c>
      <c r="C10" s="7">
        <v>3</v>
      </c>
      <c r="D10" s="7">
        <v>13</v>
      </c>
      <c r="E10" s="7">
        <f>COUNTIF('São João do Tigre'!$E$4:$E$16,"Apurada")</f>
        <v>0</v>
      </c>
      <c r="F10" s="8">
        <f t="shared" si="0"/>
        <v>0</v>
      </c>
      <c r="G10" s="9">
        <f>SUM('São João do Tigre'!$F$4:$F$16)</f>
        <v>0</v>
      </c>
      <c r="H10" s="9">
        <f>SUM('São João do Tigre'!$G$4:$G$16)</f>
        <v>0</v>
      </c>
      <c r="I10" s="9">
        <f>SUM('São João do Tigre'!$H$4:$H$16)</f>
        <v>0</v>
      </c>
      <c r="J10" s="9">
        <f>SUM('São João do Tigre'!$I$4:$I$16)</f>
        <v>0</v>
      </c>
      <c r="K10" s="9">
        <f>SUM('São João do Tigre'!$J$4:$J$16)</f>
        <v>0</v>
      </c>
      <c r="L10" s="9">
        <f>SUM('São João do Tigre'!$K$4:$K$16)</f>
        <v>0</v>
      </c>
      <c r="M10" s="9">
        <f>SUM('São João do Tigre'!$L$4:$L$16)</f>
        <v>0</v>
      </c>
      <c r="N10" s="9">
        <f>SUM('São João do Tigre'!$M$4:$M$16)</f>
        <v>0</v>
      </c>
      <c r="O10" s="9">
        <f>SUM('São João do Tigre'!$N$4:$N$16)</f>
        <v>0</v>
      </c>
      <c r="P10" s="9">
        <f>SUM('São João do Tigre'!$O$4:$O$16)</f>
        <v>0</v>
      </c>
      <c r="Q10" s="9">
        <f>SUM('São João do Tigre'!$P$4:$P$16)</f>
        <v>0</v>
      </c>
    </row>
    <row r="11" spans="1:17" x14ac:dyDescent="0.3">
      <c r="A11" s="10" t="s">
        <v>27</v>
      </c>
      <c r="B11" s="11" t="s">
        <v>20</v>
      </c>
      <c r="C11" s="11">
        <v>3</v>
      </c>
      <c r="D11" s="11">
        <v>12</v>
      </c>
      <c r="E11" s="11">
        <f>COUNTIF('São Sebastião do Umbuzeiro'!$E$4:$E$15,"Apurada")</f>
        <v>0</v>
      </c>
      <c r="F11" s="12">
        <f t="shared" si="0"/>
        <v>0</v>
      </c>
      <c r="G11" s="13">
        <f>SUM('São Sebastião do Umbuzeiro'!$F$4:$F$15)</f>
        <v>0</v>
      </c>
      <c r="H11" s="13">
        <f>SUM('São Sebastião do Umbuzeiro'!$G$4:$G$15)</f>
        <v>0</v>
      </c>
      <c r="I11" s="13">
        <f>SUM('São Sebastião do Umbuzeiro'!$H$4:$H$15)</f>
        <v>0</v>
      </c>
      <c r="J11" s="13">
        <f>SUM('São Sebastião do Umbuzeiro'!$I$4:$I$15)</f>
        <v>0</v>
      </c>
      <c r="K11" s="13">
        <f>SUM('São Sebastião do Umbuzeiro'!$J$4:$J$15)</f>
        <v>0</v>
      </c>
      <c r="L11" s="13">
        <f>SUM('São Sebastião do Umbuzeiro'!$K$4:$K$15)</f>
        <v>0</v>
      </c>
      <c r="M11" s="13">
        <f>SUM('São Sebastião do Umbuzeiro'!$L$4:$L$15)</f>
        <v>0</v>
      </c>
      <c r="N11" s="13">
        <f>SUM('São Sebastião do Umbuzeiro'!$M$4:$M$15)</f>
        <v>0</v>
      </c>
      <c r="O11" s="13">
        <f>SUM('São Sebastião do Umbuzeiro'!$N$4:$N$15)</f>
        <v>0</v>
      </c>
      <c r="P11" s="13">
        <f>SUM('São Sebastião do Umbuzeiro'!$O$4:$O$15)</f>
        <v>0</v>
      </c>
      <c r="Q11" s="13">
        <f>SUM('São Sebastião do Umbuzeiro'!$P$4:$P$15)</f>
        <v>0</v>
      </c>
    </row>
    <row r="12" spans="1:17" x14ac:dyDescent="0.3">
      <c r="A12" s="6" t="s">
        <v>28</v>
      </c>
      <c r="B12" s="7" t="s">
        <v>22</v>
      </c>
      <c r="C12" s="7">
        <v>2</v>
      </c>
      <c r="D12" s="7">
        <v>12</v>
      </c>
      <c r="E12" s="7">
        <f>COUNTIF('Ouro Velho'!$E$4:$E$15,"Apurada")</f>
        <v>0</v>
      </c>
      <c r="F12" s="8">
        <f t="shared" si="0"/>
        <v>0</v>
      </c>
      <c r="G12" s="9">
        <f>SUM('Ouro Velho'!$F$4:$F$15)</f>
        <v>0</v>
      </c>
      <c r="H12" s="9">
        <f>SUM('Ouro Velho'!$G$4:$G$15)</f>
        <v>0</v>
      </c>
      <c r="I12" s="9">
        <f>SUM('Ouro Velho'!$H$4:$H$15)</f>
        <v>0</v>
      </c>
      <c r="J12" s="9">
        <f>SUM('Ouro Velho'!$I$4:$I$15)</f>
        <v>0</v>
      </c>
      <c r="K12" s="9">
        <f>SUM('Ouro Velho'!$J$4:$J$15)</f>
        <v>0</v>
      </c>
      <c r="L12" s="9">
        <f>SUM('Ouro Velho'!$K$4:$K$15)</f>
        <v>0</v>
      </c>
      <c r="M12" s="9">
        <f>SUM('Ouro Velho'!$L$4:$L$15)</f>
        <v>0</v>
      </c>
      <c r="N12" s="9">
        <f>SUM('Ouro Velho'!$M$4:$M$15)</f>
        <v>0</v>
      </c>
      <c r="O12" s="9">
        <f>SUM('Ouro Velho'!$N$4:$N$15)</f>
        <v>0</v>
      </c>
      <c r="P12" s="9">
        <f>SUM('Ouro Velho'!$O$4:$O$15)</f>
        <v>0</v>
      </c>
      <c r="Q12" s="9">
        <f>SUM('Ouro Velho'!$P$4:$P$15)</f>
        <v>0</v>
      </c>
    </row>
    <row r="13" spans="1:17" x14ac:dyDescent="0.3">
      <c r="A13" s="10" t="s">
        <v>29</v>
      </c>
      <c r="B13" s="11" t="s">
        <v>20</v>
      </c>
      <c r="C13" s="11">
        <v>2</v>
      </c>
      <c r="D13" s="11">
        <v>9</v>
      </c>
      <c r="E13" s="11">
        <f>COUNTIF(Zabelê!$E$4:$E$12,"Apurada")</f>
        <v>0</v>
      </c>
      <c r="F13" s="12">
        <f t="shared" si="0"/>
        <v>0</v>
      </c>
      <c r="G13" s="13">
        <f>SUM(Zabelê!$F$4:$F$12)</f>
        <v>0</v>
      </c>
      <c r="H13" s="13">
        <f>SUM(Zabelê!$G$4:$G$12)</f>
        <v>0</v>
      </c>
      <c r="I13" s="13">
        <f>SUM(Zabelê!$H$4:$H$12)</f>
        <v>0</v>
      </c>
      <c r="J13" s="13">
        <f>SUM(Zabelê!$I$4:$I$12)</f>
        <v>0</v>
      </c>
      <c r="K13" s="13">
        <f>SUM(Zabelê!$J$4:$J$12)</f>
        <v>0</v>
      </c>
      <c r="L13" s="13">
        <f>SUM(Zabelê!$K$4:$K$12)</f>
        <v>0</v>
      </c>
      <c r="M13" s="13">
        <f>SUM(Zabelê!$L$4:$L$12)</f>
        <v>0</v>
      </c>
      <c r="N13" s="13">
        <f>SUM(Zabelê!$M$4:$M$12)</f>
        <v>0</v>
      </c>
      <c r="O13" s="13">
        <f>SUM(Zabelê!$N$4:$N$12)</f>
        <v>0</v>
      </c>
      <c r="P13" s="13">
        <f>SUM(Zabelê!$O$4:$O$12)</f>
        <v>0</v>
      </c>
      <c r="Q13" s="13">
        <f>SUM(Zabelê!$P$4:$P$12)</f>
        <v>0</v>
      </c>
    </row>
    <row r="14" spans="1:17" x14ac:dyDescent="0.3">
      <c r="A14" s="14" t="s">
        <v>30</v>
      </c>
      <c r="B14" s="15" t="s">
        <v>31</v>
      </c>
      <c r="C14" s="16">
        <f>SUM(C5:C13)</f>
        <v>40</v>
      </c>
      <c r="D14" s="16">
        <f>SUM(D5:D13)</f>
        <v>245</v>
      </c>
      <c r="E14" s="16">
        <f>SUM(E5:E13)</f>
        <v>0</v>
      </c>
      <c r="F14" s="17">
        <f t="shared" si="0"/>
        <v>0</v>
      </c>
      <c r="G14" s="16">
        <f t="shared" ref="G14:Q14" si="1">SUM(G5:G13)</f>
        <v>0</v>
      </c>
      <c r="H14" s="16">
        <f t="shared" si="1"/>
        <v>0</v>
      </c>
      <c r="I14" s="16">
        <f t="shared" si="1"/>
        <v>0</v>
      </c>
      <c r="J14" s="16">
        <f t="shared" si="1"/>
        <v>0</v>
      </c>
      <c r="K14" s="16">
        <f t="shared" si="1"/>
        <v>0</v>
      </c>
      <c r="L14" s="16">
        <f t="shared" si="1"/>
        <v>0</v>
      </c>
      <c r="M14" s="16">
        <f t="shared" si="1"/>
        <v>0</v>
      </c>
      <c r="N14" s="16">
        <f t="shared" si="1"/>
        <v>0</v>
      </c>
      <c r="O14" s="16">
        <f t="shared" si="1"/>
        <v>0</v>
      </c>
      <c r="P14" s="16">
        <f t="shared" si="1"/>
        <v>0</v>
      </c>
      <c r="Q14" s="16">
        <f t="shared" si="1"/>
        <v>0</v>
      </c>
    </row>
    <row r="17" spans="1:6" x14ac:dyDescent="0.3">
      <c r="A17" s="29" t="s">
        <v>32</v>
      </c>
      <c r="B17" s="24"/>
      <c r="C17" s="24"/>
      <c r="D17" s="24"/>
      <c r="E17" s="24"/>
      <c r="F17" s="24"/>
    </row>
    <row r="18" spans="1:6" x14ac:dyDescent="0.3">
      <c r="A18" s="18" t="s">
        <v>33</v>
      </c>
      <c r="B18" s="25" t="str">
        <f>IF(G14=H14,"Empate",INDEX({"Lula (PT)","Flávio Bolsonaro (PL)"},MATCH(MAX(G14:H14),G14:H14,0)))</f>
        <v>Empate</v>
      </c>
      <c r="C18" s="26"/>
      <c r="D18" s="27"/>
    </row>
    <row r="19" spans="1:6" x14ac:dyDescent="0.3">
      <c r="A19" s="18" t="s">
        <v>34</v>
      </c>
      <c r="B19" s="25" t="str">
        <f>IF(AND(I14=J14,J14=K14),"Empate",INDEX({"Lucas Ribeiro (PP)","Cícero Lucena (MDB)","Efraim Filho (PL)"},MATCH(MAX(I14:K14),I14:K14,0)))</f>
        <v>Empate</v>
      </c>
      <c r="C19" s="26"/>
      <c r="D19" s="27"/>
    </row>
    <row r="20" spans="1:6" x14ac:dyDescent="0.3">
      <c r="A20" s="18" t="s">
        <v>35</v>
      </c>
      <c r="B20" s="25" t="str">
        <f>IF(AND(L14=M14,M14=N14),"Empate",INDEX({"João Azevêdo (PSB)","Veneziano Vital do Rêgo (MDB)","Nabor Wanderley (Republicanos)"},MATCH(MAX(L14:N14),L14:N14,0)))</f>
        <v>Empate</v>
      </c>
      <c r="C20" s="26"/>
      <c r="D20" s="27"/>
    </row>
    <row r="21" spans="1:6" x14ac:dyDescent="0.3">
      <c r="A21" s="18" t="s">
        <v>36</v>
      </c>
      <c r="B21" s="25" t="str">
        <f>IF(AND(O14=P14,P14=Q14),"Empate",INDEX({"Michel Henrique (PP)","Anna Lorena (PP)","Dr. Romualdo (—)"},MATCH(MAX(O14:Q14),O14:Q14,0)))</f>
        <v>Empate</v>
      </c>
      <c r="C21" s="26"/>
      <c r="D21" s="27"/>
    </row>
  </sheetData>
  <mergeCells count="7">
    <mergeCell ref="B21:D21"/>
    <mergeCell ref="A1:Q1"/>
    <mergeCell ref="B20:D20"/>
    <mergeCell ref="B19:D19"/>
    <mergeCell ref="A2:Q2"/>
    <mergeCell ref="B18:D18"/>
    <mergeCell ref="A17:F17"/>
  </mergeCells>
  <pageMargins left="0.3" right="0.3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215F"/>
    <pageSetUpPr fitToPage="1"/>
  </sheetPr>
  <dimension ref="A1:Q102"/>
  <sheetViews>
    <sheetView tabSelected="1" zoomScaleNormal="100" workbookViewId="0">
      <pane ySplit="4" topLeftCell="A5" activePane="bottomLeft" state="frozen"/>
      <selection pane="bottomLeft" activeCell="A5" sqref="A5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37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x14ac:dyDescent="0.3">
      <c r="A3" s="19" t="s">
        <v>39</v>
      </c>
      <c r="B3" s="20" t="s">
        <v>40</v>
      </c>
      <c r="C3" s="21">
        <v>26</v>
      </c>
      <c r="D3" s="21">
        <v>2254</v>
      </c>
      <c r="E3" s="21" t="s">
        <v>41</v>
      </c>
      <c r="F3" s="21">
        <v>230</v>
      </c>
      <c r="G3" s="21">
        <v>175</v>
      </c>
      <c r="H3" s="21">
        <v>210</v>
      </c>
      <c r="I3" s="21">
        <v>145</v>
      </c>
      <c r="J3" s="21">
        <v>60</v>
      </c>
      <c r="K3" s="21">
        <v>198</v>
      </c>
      <c r="L3" s="21">
        <v>160</v>
      </c>
      <c r="M3" s="21">
        <v>50</v>
      </c>
      <c r="N3" s="21">
        <v>180</v>
      </c>
      <c r="O3" s="21">
        <v>90</v>
      </c>
      <c r="P3" s="21">
        <v>45</v>
      </c>
      <c r="Q3" s="21">
        <f>SUM(F3:P3)</f>
        <v>1543</v>
      </c>
    </row>
    <row r="4" spans="1:17" ht="57.75" customHeight="1" x14ac:dyDescent="0.3">
      <c r="A4" s="1" t="s">
        <v>3</v>
      </c>
      <c r="B4" s="1" t="s">
        <v>42</v>
      </c>
      <c r="C4" s="1" t="s">
        <v>43</v>
      </c>
      <c r="D4" s="1" t="s">
        <v>44</v>
      </c>
      <c r="E4" s="1" t="s">
        <v>45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1" t="s">
        <v>46</v>
      </c>
    </row>
    <row r="5" spans="1:17" x14ac:dyDescent="0.3">
      <c r="A5" s="3" t="s">
        <v>20</v>
      </c>
      <c r="B5" s="2" t="s">
        <v>47</v>
      </c>
      <c r="C5" s="3">
        <v>16</v>
      </c>
      <c r="D5" s="3">
        <v>1639</v>
      </c>
      <c r="E5" s="3" t="s">
        <v>48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5">
        <f t="shared" ref="Q5:Q36" si="0">SUM(F5:P5)</f>
        <v>0</v>
      </c>
    </row>
    <row r="6" spans="1:17" x14ac:dyDescent="0.3">
      <c r="A6" s="3" t="s">
        <v>20</v>
      </c>
      <c r="B6" s="2" t="s">
        <v>47</v>
      </c>
      <c r="C6" s="3">
        <v>17</v>
      </c>
      <c r="D6" s="3">
        <v>1639</v>
      </c>
      <c r="E6" s="3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5">
        <f t="shared" si="0"/>
        <v>0</v>
      </c>
    </row>
    <row r="7" spans="1:17" x14ac:dyDescent="0.3">
      <c r="A7" s="3" t="s">
        <v>20</v>
      </c>
      <c r="B7" s="2" t="s">
        <v>47</v>
      </c>
      <c r="C7" s="3">
        <v>18</v>
      </c>
      <c r="D7" s="3">
        <v>1639</v>
      </c>
      <c r="E7" s="3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5">
        <f t="shared" si="0"/>
        <v>0</v>
      </c>
    </row>
    <row r="8" spans="1:17" x14ac:dyDescent="0.3">
      <c r="A8" s="3" t="s">
        <v>20</v>
      </c>
      <c r="B8" s="2" t="s">
        <v>47</v>
      </c>
      <c r="C8" s="3">
        <v>19</v>
      </c>
      <c r="D8" s="3">
        <v>1639</v>
      </c>
      <c r="E8" s="3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5">
        <f t="shared" si="0"/>
        <v>0</v>
      </c>
    </row>
    <row r="9" spans="1:17" x14ac:dyDescent="0.3">
      <c r="A9" s="3" t="s">
        <v>20</v>
      </c>
      <c r="B9" s="2" t="s">
        <v>47</v>
      </c>
      <c r="C9" s="3">
        <v>20</v>
      </c>
      <c r="D9" s="3">
        <v>1639</v>
      </c>
      <c r="E9" s="3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5">
        <f t="shared" si="0"/>
        <v>0</v>
      </c>
    </row>
    <row r="10" spans="1:17" x14ac:dyDescent="0.3">
      <c r="A10" s="3" t="s">
        <v>20</v>
      </c>
      <c r="B10" s="2" t="s">
        <v>47</v>
      </c>
      <c r="C10" s="3">
        <v>21</v>
      </c>
      <c r="D10" s="3">
        <v>1639</v>
      </c>
      <c r="E10" s="3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5">
        <f t="shared" si="0"/>
        <v>0</v>
      </c>
    </row>
    <row r="11" spans="1:17" x14ac:dyDescent="0.3">
      <c r="A11" s="3" t="s">
        <v>20</v>
      </c>
      <c r="B11" s="2" t="s">
        <v>47</v>
      </c>
      <c r="C11" s="3">
        <v>30</v>
      </c>
      <c r="D11" s="3">
        <v>1639</v>
      </c>
      <c r="E11" s="3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5">
        <f t="shared" si="0"/>
        <v>0</v>
      </c>
    </row>
    <row r="12" spans="1:17" x14ac:dyDescent="0.3">
      <c r="A12" s="3" t="s">
        <v>20</v>
      </c>
      <c r="B12" s="2" t="s">
        <v>49</v>
      </c>
      <c r="C12" s="3">
        <v>22</v>
      </c>
      <c r="D12" s="3">
        <v>2702</v>
      </c>
      <c r="E12" s="3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5">
        <f t="shared" si="0"/>
        <v>0</v>
      </c>
    </row>
    <row r="13" spans="1:17" x14ac:dyDescent="0.3">
      <c r="A13" s="3" t="s">
        <v>20</v>
      </c>
      <c r="B13" s="2" t="s">
        <v>49</v>
      </c>
      <c r="C13" s="3">
        <v>27</v>
      </c>
      <c r="D13" s="3">
        <v>2702</v>
      </c>
      <c r="E13" s="3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5">
        <f t="shared" si="0"/>
        <v>0</v>
      </c>
    </row>
    <row r="14" spans="1:17" x14ac:dyDescent="0.3">
      <c r="A14" s="3" t="s">
        <v>20</v>
      </c>
      <c r="B14" s="2" t="s">
        <v>49</v>
      </c>
      <c r="C14" s="3">
        <v>40</v>
      </c>
      <c r="D14" s="3">
        <v>2702</v>
      </c>
      <c r="E14" s="3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5">
        <f t="shared" si="0"/>
        <v>0</v>
      </c>
    </row>
    <row r="15" spans="1:17" x14ac:dyDescent="0.3">
      <c r="A15" s="3" t="s">
        <v>20</v>
      </c>
      <c r="B15" s="2" t="s">
        <v>49</v>
      </c>
      <c r="C15" s="3">
        <v>41</v>
      </c>
      <c r="D15" s="3">
        <v>2702</v>
      </c>
      <c r="E15" s="3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5">
        <f t="shared" si="0"/>
        <v>0</v>
      </c>
    </row>
    <row r="16" spans="1:17" x14ac:dyDescent="0.3">
      <c r="A16" s="3" t="s">
        <v>20</v>
      </c>
      <c r="B16" s="2" t="s">
        <v>49</v>
      </c>
      <c r="C16" s="3">
        <v>104</v>
      </c>
      <c r="D16" s="3">
        <v>2702</v>
      </c>
      <c r="E16" s="3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5">
        <f t="shared" si="0"/>
        <v>0</v>
      </c>
    </row>
    <row r="17" spans="1:17" x14ac:dyDescent="0.3">
      <c r="A17" s="3" t="s">
        <v>20</v>
      </c>
      <c r="B17" s="2" t="s">
        <v>49</v>
      </c>
      <c r="C17" s="3">
        <v>110</v>
      </c>
      <c r="D17" s="3">
        <v>2702</v>
      </c>
      <c r="E17" s="3" t="s">
        <v>48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5">
        <f t="shared" si="0"/>
        <v>0</v>
      </c>
    </row>
    <row r="18" spans="1:17" x14ac:dyDescent="0.3">
      <c r="A18" s="3" t="s">
        <v>20</v>
      </c>
      <c r="B18" s="2" t="s">
        <v>49</v>
      </c>
      <c r="C18" s="3">
        <v>125</v>
      </c>
      <c r="D18" s="3">
        <v>2702</v>
      </c>
      <c r="E18" s="3" t="s">
        <v>48</v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5">
        <f t="shared" si="0"/>
        <v>0</v>
      </c>
    </row>
    <row r="19" spans="1:17" x14ac:dyDescent="0.3">
      <c r="A19" s="3" t="s">
        <v>20</v>
      </c>
      <c r="B19" s="2" t="s">
        <v>49</v>
      </c>
      <c r="C19" s="3">
        <v>129</v>
      </c>
      <c r="D19" s="3">
        <v>2702</v>
      </c>
      <c r="E19" s="3" t="s">
        <v>48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5">
        <f t="shared" si="0"/>
        <v>0</v>
      </c>
    </row>
    <row r="20" spans="1:17" x14ac:dyDescent="0.3">
      <c r="A20" s="3" t="s">
        <v>20</v>
      </c>
      <c r="B20" s="2" t="s">
        <v>50</v>
      </c>
      <c r="C20" s="3">
        <v>15</v>
      </c>
      <c r="D20" s="3">
        <v>1650</v>
      </c>
      <c r="E20" s="3" t="s">
        <v>48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5">
        <f t="shared" si="0"/>
        <v>0</v>
      </c>
    </row>
    <row r="21" spans="1:17" x14ac:dyDescent="0.3">
      <c r="A21" s="3" t="s">
        <v>20</v>
      </c>
      <c r="B21" s="2" t="s">
        <v>50</v>
      </c>
      <c r="C21" s="3">
        <v>23</v>
      </c>
      <c r="D21" s="3">
        <v>1650</v>
      </c>
      <c r="E21" s="3" t="s">
        <v>48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5">
        <f t="shared" si="0"/>
        <v>0</v>
      </c>
    </row>
    <row r="22" spans="1:17" x14ac:dyDescent="0.3">
      <c r="A22" s="3" t="s">
        <v>20</v>
      </c>
      <c r="B22" s="2" t="s">
        <v>50</v>
      </c>
      <c r="C22" s="3">
        <v>42</v>
      </c>
      <c r="D22" s="3">
        <v>1650</v>
      </c>
      <c r="E22" s="3" t="s">
        <v>48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5">
        <f t="shared" si="0"/>
        <v>0</v>
      </c>
    </row>
    <row r="23" spans="1:17" x14ac:dyDescent="0.3">
      <c r="A23" s="3" t="s">
        <v>20</v>
      </c>
      <c r="B23" s="2" t="s">
        <v>50</v>
      </c>
      <c r="C23" s="3">
        <v>44</v>
      </c>
      <c r="D23" s="3">
        <v>1650</v>
      </c>
      <c r="E23" s="3" t="s">
        <v>48</v>
      </c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5">
        <f t="shared" si="0"/>
        <v>0</v>
      </c>
    </row>
    <row r="24" spans="1:17" x14ac:dyDescent="0.3">
      <c r="A24" s="3" t="s">
        <v>20</v>
      </c>
      <c r="B24" s="2" t="s">
        <v>50</v>
      </c>
      <c r="C24" s="3">
        <v>45</v>
      </c>
      <c r="D24" s="3">
        <v>1650</v>
      </c>
      <c r="E24" s="3" t="s">
        <v>48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5">
        <f t="shared" si="0"/>
        <v>0</v>
      </c>
    </row>
    <row r="25" spans="1:17" x14ac:dyDescent="0.3">
      <c r="A25" s="3" t="s">
        <v>20</v>
      </c>
      <c r="B25" s="2" t="s">
        <v>50</v>
      </c>
      <c r="C25" s="3">
        <v>47</v>
      </c>
      <c r="D25" s="3">
        <v>1650</v>
      </c>
      <c r="E25" s="3" t="s">
        <v>48</v>
      </c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5">
        <f t="shared" si="0"/>
        <v>0</v>
      </c>
    </row>
    <row r="26" spans="1:17" x14ac:dyDescent="0.3">
      <c r="A26" s="3" t="s">
        <v>20</v>
      </c>
      <c r="B26" s="2" t="s">
        <v>50</v>
      </c>
      <c r="C26" s="3">
        <v>48</v>
      </c>
      <c r="D26" s="3">
        <v>1650</v>
      </c>
      <c r="E26" s="3" t="s">
        <v>48</v>
      </c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5">
        <f t="shared" si="0"/>
        <v>0</v>
      </c>
    </row>
    <row r="27" spans="1:17" x14ac:dyDescent="0.3">
      <c r="A27" s="3" t="s">
        <v>20</v>
      </c>
      <c r="B27" s="2" t="s">
        <v>51</v>
      </c>
      <c r="C27" s="3">
        <v>60</v>
      </c>
      <c r="D27" s="3">
        <v>373</v>
      </c>
      <c r="E27" s="3" t="s">
        <v>48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5">
        <f t="shared" si="0"/>
        <v>0</v>
      </c>
    </row>
    <row r="28" spans="1:17" x14ac:dyDescent="0.3">
      <c r="A28" s="3" t="s">
        <v>20</v>
      </c>
      <c r="B28" s="2" t="s">
        <v>51</v>
      </c>
      <c r="C28" s="3">
        <v>152</v>
      </c>
      <c r="D28" s="3">
        <v>373</v>
      </c>
      <c r="E28" s="3" t="s">
        <v>48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5">
        <f t="shared" si="0"/>
        <v>0</v>
      </c>
    </row>
    <row r="29" spans="1:17" x14ac:dyDescent="0.3">
      <c r="A29" s="3" t="s">
        <v>20</v>
      </c>
      <c r="B29" s="2" t="s">
        <v>52</v>
      </c>
      <c r="C29" s="3">
        <v>61</v>
      </c>
      <c r="D29" s="3">
        <v>249</v>
      </c>
      <c r="E29" s="3" t="s">
        <v>48</v>
      </c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5">
        <f t="shared" si="0"/>
        <v>0</v>
      </c>
    </row>
    <row r="30" spans="1:17" x14ac:dyDescent="0.3">
      <c r="A30" s="3" t="s">
        <v>20</v>
      </c>
      <c r="B30" s="2" t="s">
        <v>53</v>
      </c>
      <c r="C30" s="3">
        <v>62</v>
      </c>
      <c r="D30" s="3">
        <v>730</v>
      </c>
      <c r="E30" s="3" t="s">
        <v>48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5">
        <f t="shared" si="0"/>
        <v>0</v>
      </c>
    </row>
    <row r="31" spans="1:17" x14ac:dyDescent="0.3">
      <c r="A31" s="3" t="s">
        <v>20</v>
      </c>
      <c r="B31" s="2" t="s">
        <v>53</v>
      </c>
      <c r="C31" s="3">
        <v>63</v>
      </c>
      <c r="D31" s="3">
        <v>730</v>
      </c>
      <c r="E31" s="3" t="s">
        <v>48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5">
        <f t="shared" si="0"/>
        <v>0</v>
      </c>
    </row>
    <row r="32" spans="1:17" x14ac:dyDescent="0.3">
      <c r="A32" s="3" t="s">
        <v>20</v>
      </c>
      <c r="B32" s="2" t="s">
        <v>53</v>
      </c>
      <c r="C32" s="3">
        <v>185</v>
      </c>
      <c r="D32" s="3">
        <v>730</v>
      </c>
      <c r="E32" s="3" t="s">
        <v>48</v>
      </c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5">
        <f t="shared" si="0"/>
        <v>0</v>
      </c>
    </row>
    <row r="33" spans="1:17" x14ac:dyDescent="0.3">
      <c r="A33" s="3" t="s">
        <v>20</v>
      </c>
      <c r="B33" s="2" t="s">
        <v>54</v>
      </c>
      <c r="C33" s="3">
        <v>71</v>
      </c>
      <c r="D33" s="3">
        <v>452</v>
      </c>
      <c r="E33" s="3" t="s">
        <v>48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5">
        <f t="shared" si="0"/>
        <v>0</v>
      </c>
    </row>
    <row r="34" spans="1:17" x14ac:dyDescent="0.3">
      <c r="A34" s="3" t="s">
        <v>20</v>
      </c>
      <c r="B34" s="2" t="s">
        <v>54</v>
      </c>
      <c r="C34" s="3">
        <v>151</v>
      </c>
      <c r="D34" s="3">
        <v>452</v>
      </c>
      <c r="E34" s="3" t="s">
        <v>48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5">
        <f t="shared" si="0"/>
        <v>0</v>
      </c>
    </row>
    <row r="35" spans="1:17" x14ac:dyDescent="0.3">
      <c r="A35" s="3" t="s">
        <v>20</v>
      </c>
      <c r="B35" s="2" t="s">
        <v>55</v>
      </c>
      <c r="C35" s="3">
        <v>50</v>
      </c>
      <c r="D35" s="3">
        <v>1470</v>
      </c>
      <c r="E35" s="3" t="s">
        <v>48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5">
        <f t="shared" si="0"/>
        <v>0</v>
      </c>
    </row>
    <row r="36" spans="1:17" x14ac:dyDescent="0.3">
      <c r="A36" s="3" t="s">
        <v>20</v>
      </c>
      <c r="B36" s="2" t="s">
        <v>55</v>
      </c>
      <c r="C36" s="3">
        <v>51</v>
      </c>
      <c r="D36" s="3">
        <v>1470</v>
      </c>
      <c r="E36" s="3" t="s">
        <v>48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5">
        <f t="shared" si="0"/>
        <v>0</v>
      </c>
    </row>
    <row r="37" spans="1:17" x14ac:dyDescent="0.3">
      <c r="A37" s="3" t="s">
        <v>20</v>
      </c>
      <c r="B37" s="2" t="s">
        <v>55</v>
      </c>
      <c r="C37" s="3">
        <v>52</v>
      </c>
      <c r="D37" s="3">
        <v>1470</v>
      </c>
      <c r="E37" s="3" t="s">
        <v>48</v>
      </c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5">
        <f t="shared" ref="Q37:Q68" si="1">SUM(F37:P37)</f>
        <v>0</v>
      </c>
    </row>
    <row r="38" spans="1:17" x14ac:dyDescent="0.3">
      <c r="A38" s="3" t="s">
        <v>20</v>
      </c>
      <c r="B38" s="2" t="s">
        <v>55</v>
      </c>
      <c r="C38" s="3">
        <v>126</v>
      </c>
      <c r="D38" s="3">
        <v>1470</v>
      </c>
      <c r="E38" s="3" t="s">
        <v>48</v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5">
        <f t="shared" si="1"/>
        <v>0</v>
      </c>
    </row>
    <row r="39" spans="1:17" x14ac:dyDescent="0.3">
      <c r="A39" s="3" t="s">
        <v>20</v>
      </c>
      <c r="B39" s="2" t="s">
        <v>55</v>
      </c>
      <c r="C39" s="3">
        <v>198</v>
      </c>
      <c r="D39" s="3">
        <v>1470</v>
      </c>
      <c r="E39" s="3" t="s">
        <v>48</v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5">
        <f t="shared" si="1"/>
        <v>0</v>
      </c>
    </row>
    <row r="40" spans="1:17" x14ac:dyDescent="0.3">
      <c r="A40" s="3" t="s">
        <v>20</v>
      </c>
      <c r="B40" s="2" t="s">
        <v>40</v>
      </c>
      <c r="C40" s="3">
        <v>26</v>
      </c>
      <c r="D40" s="3">
        <v>2254</v>
      </c>
      <c r="E40" s="3" t="s">
        <v>48</v>
      </c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5">
        <f t="shared" si="1"/>
        <v>0</v>
      </c>
    </row>
    <row r="41" spans="1:17" x14ac:dyDescent="0.3">
      <c r="A41" s="3" t="s">
        <v>20</v>
      </c>
      <c r="B41" s="2" t="s">
        <v>40</v>
      </c>
      <c r="C41" s="3">
        <v>28</v>
      </c>
      <c r="D41" s="3">
        <v>2254</v>
      </c>
      <c r="E41" s="3" t="s">
        <v>48</v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5">
        <f t="shared" si="1"/>
        <v>0</v>
      </c>
    </row>
    <row r="42" spans="1:17" x14ac:dyDescent="0.3">
      <c r="A42" s="3" t="s">
        <v>20</v>
      </c>
      <c r="B42" s="2" t="s">
        <v>40</v>
      </c>
      <c r="C42" s="3">
        <v>32</v>
      </c>
      <c r="D42" s="3">
        <v>2254</v>
      </c>
      <c r="E42" s="3" t="s">
        <v>48</v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5">
        <f t="shared" si="1"/>
        <v>0</v>
      </c>
    </row>
    <row r="43" spans="1:17" x14ac:dyDescent="0.3">
      <c r="A43" s="3" t="s">
        <v>20</v>
      </c>
      <c r="B43" s="2" t="s">
        <v>40</v>
      </c>
      <c r="C43" s="3">
        <v>43</v>
      </c>
      <c r="D43" s="3">
        <v>2254</v>
      </c>
      <c r="E43" s="3" t="s">
        <v>48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5">
        <f t="shared" si="1"/>
        <v>0</v>
      </c>
    </row>
    <row r="44" spans="1:17" x14ac:dyDescent="0.3">
      <c r="A44" s="3" t="s">
        <v>20</v>
      </c>
      <c r="B44" s="2" t="s">
        <v>40</v>
      </c>
      <c r="C44" s="3">
        <v>46</v>
      </c>
      <c r="D44" s="3">
        <v>2254</v>
      </c>
      <c r="E44" s="3" t="s">
        <v>48</v>
      </c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5">
        <f t="shared" si="1"/>
        <v>0</v>
      </c>
    </row>
    <row r="45" spans="1:17" x14ac:dyDescent="0.3">
      <c r="A45" s="3" t="s">
        <v>20</v>
      </c>
      <c r="B45" s="2" t="s">
        <v>40</v>
      </c>
      <c r="C45" s="3">
        <v>49</v>
      </c>
      <c r="D45" s="3">
        <v>2254</v>
      </c>
      <c r="E45" s="3" t="s">
        <v>48</v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5">
        <f t="shared" si="1"/>
        <v>0</v>
      </c>
    </row>
    <row r="46" spans="1:17" x14ac:dyDescent="0.3">
      <c r="A46" s="3" t="s">
        <v>20</v>
      </c>
      <c r="B46" s="2" t="s">
        <v>40</v>
      </c>
      <c r="C46" s="3">
        <v>53</v>
      </c>
      <c r="D46" s="3">
        <v>2254</v>
      </c>
      <c r="E46" s="3" t="s">
        <v>48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5">
        <f t="shared" si="1"/>
        <v>0</v>
      </c>
    </row>
    <row r="47" spans="1:17" x14ac:dyDescent="0.3">
      <c r="A47" s="3" t="s">
        <v>20</v>
      </c>
      <c r="B47" s="2" t="s">
        <v>40</v>
      </c>
      <c r="C47" s="3">
        <v>58</v>
      </c>
      <c r="D47" s="3">
        <v>2254</v>
      </c>
      <c r="E47" s="3" t="s">
        <v>48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5">
        <f t="shared" si="1"/>
        <v>0</v>
      </c>
    </row>
    <row r="48" spans="1:17" x14ac:dyDescent="0.3">
      <c r="A48" s="3" t="s">
        <v>20</v>
      </c>
      <c r="B48" s="2" t="s">
        <v>56</v>
      </c>
      <c r="C48" s="3">
        <v>59</v>
      </c>
      <c r="D48" s="3">
        <v>2388</v>
      </c>
      <c r="E48" s="3" t="s">
        <v>48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5">
        <f t="shared" si="1"/>
        <v>0</v>
      </c>
    </row>
    <row r="49" spans="1:17" x14ac:dyDescent="0.3">
      <c r="A49" s="3" t="s">
        <v>20</v>
      </c>
      <c r="B49" s="2" t="s">
        <v>56</v>
      </c>
      <c r="C49" s="3">
        <v>66</v>
      </c>
      <c r="D49" s="3">
        <v>2388</v>
      </c>
      <c r="E49" s="3" t="s">
        <v>48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5">
        <f t="shared" si="1"/>
        <v>0</v>
      </c>
    </row>
    <row r="50" spans="1:17" x14ac:dyDescent="0.3">
      <c r="A50" s="3" t="s">
        <v>20</v>
      </c>
      <c r="B50" s="2" t="s">
        <v>56</v>
      </c>
      <c r="C50" s="3">
        <v>70</v>
      </c>
      <c r="D50" s="3">
        <v>2388</v>
      </c>
      <c r="E50" s="3" t="s">
        <v>48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5">
        <f t="shared" si="1"/>
        <v>0</v>
      </c>
    </row>
    <row r="51" spans="1:17" x14ac:dyDescent="0.3">
      <c r="A51" s="3" t="s">
        <v>20</v>
      </c>
      <c r="B51" s="2" t="s">
        <v>56</v>
      </c>
      <c r="C51" s="3">
        <v>72</v>
      </c>
      <c r="D51" s="3">
        <v>2388</v>
      </c>
      <c r="E51" s="3" t="s">
        <v>48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5">
        <f t="shared" si="1"/>
        <v>0</v>
      </c>
    </row>
    <row r="52" spans="1:17" x14ac:dyDescent="0.3">
      <c r="A52" s="3" t="s">
        <v>20</v>
      </c>
      <c r="B52" s="2" t="s">
        <v>56</v>
      </c>
      <c r="C52" s="3">
        <v>149</v>
      </c>
      <c r="D52" s="3">
        <v>2388</v>
      </c>
      <c r="E52" s="3" t="s">
        <v>48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5">
        <f t="shared" si="1"/>
        <v>0</v>
      </c>
    </row>
    <row r="53" spans="1:17" x14ac:dyDescent="0.3">
      <c r="A53" s="3" t="s">
        <v>20</v>
      </c>
      <c r="B53" s="2" t="s">
        <v>56</v>
      </c>
      <c r="C53" s="3">
        <v>150</v>
      </c>
      <c r="D53" s="3">
        <v>2388</v>
      </c>
      <c r="E53" s="3" t="s">
        <v>48</v>
      </c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5">
        <f t="shared" si="1"/>
        <v>0</v>
      </c>
    </row>
    <row r="54" spans="1:17" x14ac:dyDescent="0.3">
      <c r="A54" s="3" t="s">
        <v>20</v>
      </c>
      <c r="B54" s="2" t="s">
        <v>56</v>
      </c>
      <c r="C54" s="3">
        <v>154</v>
      </c>
      <c r="D54" s="3">
        <v>2388</v>
      </c>
      <c r="E54" s="3" t="s">
        <v>48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5">
        <f t="shared" si="1"/>
        <v>0</v>
      </c>
    </row>
    <row r="55" spans="1:17" x14ac:dyDescent="0.3">
      <c r="A55" s="3" t="s">
        <v>20</v>
      </c>
      <c r="B55" s="2" t="s">
        <v>57</v>
      </c>
      <c r="C55" s="3">
        <v>55</v>
      </c>
      <c r="D55" s="3">
        <v>1741</v>
      </c>
      <c r="E55" s="3" t="s">
        <v>48</v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5">
        <f t="shared" si="1"/>
        <v>0</v>
      </c>
    </row>
    <row r="56" spans="1:17" x14ac:dyDescent="0.3">
      <c r="A56" s="3" t="s">
        <v>20</v>
      </c>
      <c r="B56" s="2" t="s">
        <v>57</v>
      </c>
      <c r="C56" s="3">
        <v>56</v>
      </c>
      <c r="D56" s="3">
        <v>1741</v>
      </c>
      <c r="E56" s="3" t="s">
        <v>48</v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5">
        <f t="shared" si="1"/>
        <v>0</v>
      </c>
    </row>
    <row r="57" spans="1:17" x14ac:dyDescent="0.3">
      <c r="A57" s="3" t="s">
        <v>20</v>
      </c>
      <c r="B57" s="2" t="s">
        <v>57</v>
      </c>
      <c r="C57" s="3">
        <v>57</v>
      </c>
      <c r="D57" s="3">
        <v>1741</v>
      </c>
      <c r="E57" s="3" t="s">
        <v>48</v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5">
        <f t="shared" si="1"/>
        <v>0</v>
      </c>
    </row>
    <row r="58" spans="1:17" x14ac:dyDescent="0.3">
      <c r="A58" s="3" t="s">
        <v>20</v>
      </c>
      <c r="B58" s="2" t="s">
        <v>57</v>
      </c>
      <c r="C58" s="3">
        <v>101</v>
      </c>
      <c r="D58" s="3">
        <v>1741</v>
      </c>
      <c r="E58" s="3" t="s">
        <v>48</v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5">
        <f t="shared" si="1"/>
        <v>0</v>
      </c>
    </row>
    <row r="59" spans="1:17" x14ac:dyDescent="0.3">
      <c r="A59" s="3" t="s">
        <v>20</v>
      </c>
      <c r="B59" s="2" t="s">
        <v>57</v>
      </c>
      <c r="C59" s="3">
        <v>106</v>
      </c>
      <c r="D59" s="3">
        <v>1741</v>
      </c>
      <c r="E59" s="3" t="s">
        <v>48</v>
      </c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5">
        <f t="shared" si="1"/>
        <v>0</v>
      </c>
    </row>
    <row r="60" spans="1:17" x14ac:dyDescent="0.3">
      <c r="A60" s="3" t="s">
        <v>20</v>
      </c>
      <c r="B60" s="2" t="s">
        <v>57</v>
      </c>
      <c r="C60" s="3">
        <v>107</v>
      </c>
      <c r="D60" s="3">
        <v>1741</v>
      </c>
      <c r="E60" s="3" t="s">
        <v>48</v>
      </c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5">
        <f t="shared" si="1"/>
        <v>0</v>
      </c>
    </row>
    <row r="61" spans="1:17" x14ac:dyDescent="0.3">
      <c r="A61" s="3" t="s">
        <v>20</v>
      </c>
      <c r="B61" s="2" t="s">
        <v>57</v>
      </c>
      <c r="C61" s="3">
        <v>182</v>
      </c>
      <c r="D61" s="3">
        <v>1741</v>
      </c>
      <c r="E61" s="3" t="s">
        <v>48</v>
      </c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5">
        <f t="shared" si="1"/>
        <v>0</v>
      </c>
    </row>
    <row r="62" spans="1:17" x14ac:dyDescent="0.3">
      <c r="A62" s="3" t="s">
        <v>20</v>
      </c>
      <c r="B62" s="2" t="s">
        <v>58</v>
      </c>
      <c r="C62" s="3">
        <v>64</v>
      </c>
      <c r="D62" s="3">
        <v>3057</v>
      </c>
      <c r="E62" s="3" t="s">
        <v>48</v>
      </c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5">
        <f t="shared" si="1"/>
        <v>0</v>
      </c>
    </row>
    <row r="63" spans="1:17" x14ac:dyDescent="0.3">
      <c r="A63" s="3" t="s">
        <v>20</v>
      </c>
      <c r="B63" s="2" t="s">
        <v>58</v>
      </c>
      <c r="C63" s="3">
        <v>69</v>
      </c>
      <c r="D63" s="3">
        <v>3057</v>
      </c>
      <c r="E63" s="3" t="s">
        <v>48</v>
      </c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5">
        <f t="shared" si="1"/>
        <v>0</v>
      </c>
    </row>
    <row r="64" spans="1:17" x14ac:dyDescent="0.3">
      <c r="A64" s="3" t="s">
        <v>20</v>
      </c>
      <c r="B64" s="2" t="s">
        <v>58</v>
      </c>
      <c r="C64" s="3">
        <v>77</v>
      </c>
      <c r="D64" s="3">
        <v>3057</v>
      </c>
      <c r="E64" s="3" t="s">
        <v>48</v>
      </c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5">
        <f t="shared" si="1"/>
        <v>0</v>
      </c>
    </row>
    <row r="65" spans="1:17" x14ac:dyDescent="0.3">
      <c r="A65" s="3" t="s">
        <v>20</v>
      </c>
      <c r="B65" s="2" t="s">
        <v>58</v>
      </c>
      <c r="C65" s="3">
        <v>105</v>
      </c>
      <c r="D65" s="3">
        <v>3057</v>
      </c>
      <c r="E65" s="3" t="s">
        <v>48</v>
      </c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5">
        <f t="shared" si="1"/>
        <v>0</v>
      </c>
    </row>
    <row r="66" spans="1:17" x14ac:dyDescent="0.3">
      <c r="A66" s="3" t="s">
        <v>20</v>
      </c>
      <c r="B66" s="2" t="s">
        <v>58</v>
      </c>
      <c r="C66" s="3">
        <v>109</v>
      </c>
      <c r="D66" s="3">
        <v>3057</v>
      </c>
      <c r="E66" s="3" t="s">
        <v>48</v>
      </c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5">
        <f t="shared" si="1"/>
        <v>0</v>
      </c>
    </row>
    <row r="67" spans="1:17" x14ac:dyDescent="0.3">
      <c r="A67" s="3" t="s">
        <v>20</v>
      </c>
      <c r="B67" s="2" t="s">
        <v>58</v>
      </c>
      <c r="C67" s="3">
        <v>127</v>
      </c>
      <c r="D67" s="3">
        <v>3057</v>
      </c>
      <c r="E67" s="3" t="s">
        <v>48</v>
      </c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5">
        <f t="shared" si="1"/>
        <v>0</v>
      </c>
    </row>
    <row r="68" spans="1:17" x14ac:dyDescent="0.3">
      <c r="A68" s="3" t="s">
        <v>20</v>
      </c>
      <c r="B68" s="2" t="s">
        <v>58</v>
      </c>
      <c r="C68" s="3">
        <v>128</v>
      </c>
      <c r="D68" s="3">
        <v>3057</v>
      </c>
      <c r="E68" s="3" t="s">
        <v>48</v>
      </c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5">
        <f t="shared" si="1"/>
        <v>0</v>
      </c>
    </row>
    <row r="69" spans="1:17" x14ac:dyDescent="0.3">
      <c r="A69" s="3" t="s">
        <v>20</v>
      </c>
      <c r="B69" s="2" t="s">
        <v>58</v>
      </c>
      <c r="C69" s="3">
        <v>153</v>
      </c>
      <c r="D69" s="3">
        <v>3057</v>
      </c>
      <c r="E69" s="3" t="s">
        <v>48</v>
      </c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5">
        <f t="shared" ref="Q69:Q100" si="2">SUM(F69:P69)</f>
        <v>0</v>
      </c>
    </row>
    <row r="70" spans="1:17" x14ac:dyDescent="0.3">
      <c r="A70" s="3" t="s">
        <v>20</v>
      </c>
      <c r="B70" s="2" t="s">
        <v>58</v>
      </c>
      <c r="C70" s="3">
        <v>172</v>
      </c>
      <c r="D70" s="3">
        <v>3057</v>
      </c>
      <c r="E70" s="3" t="s">
        <v>48</v>
      </c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5">
        <f t="shared" si="2"/>
        <v>0</v>
      </c>
    </row>
    <row r="71" spans="1:17" x14ac:dyDescent="0.3">
      <c r="A71" s="3" t="s">
        <v>20</v>
      </c>
      <c r="B71" s="2" t="s">
        <v>58</v>
      </c>
      <c r="C71" s="3">
        <v>174</v>
      </c>
      <c r="D71" s="3">
        <v>3057</v>
      </c>
      <c r="E71" s="3" t="s">
        <v>48</v>
      </c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5">
        <f t="shared" si="2"/>
        <v>0</v>
      </c>
    </row>
    <row r="72" spans="1:17" x14ac:dyDescent="0.3">
      <c r="A72" s="3" t="s">
        <v>20</v>
      </c>
      <c r="B72" s="2" t="s">
        <v>58</v>
      </c>
      <c r="C72" s="3">
        <v>179</v>
      </c>
      <c r="D72" s="3">
        <v>3057</v>
      </c>
      <c r="E72" s="3" t="s">
        <v>48</v>
      </c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5">
        <f t="shared" si="2"/>
        <v>0</v>
      </c>
    </row>
    <row r="73" spans="1:17" x14ac:dyDescent="0.3">
      <c r="A73" s="3" t="s">
        <v>20</v>
      </c>
      <c r="B73" s="2" t="s">
        <v>58</v>
      </c>
      <c r="C73" s="3">
        <v>208</v>
      </c>
      <c r="D73" s="3">
        <v>3057</v>
      </c>
      <c r="E73" s="3" t="s">
        <v>48</v>
      </c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5">
        <f t="shared" si="2"/>
        <v>0</v>
      </c>
    </row>
    <row r="74" spans="1:17" x14ac:dyDescent="0.3">
      <c r="A74" s="3" t="s">
        <v>20</v>
      </c>
      <c r="B74" s="2" t="s">
        <v>58</v>
      </c>
      <c r="C74" s="3">
        <v>209</v>
      </c>
      <c r="D74" s="3">
        <v>3057</v>
      </c>
      <c r="E74" s="3" t="s">
        <v>48</v>
      </c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5">
        <f t="shared" si="2"/>
        <v>0</v>
      </c>
    </row>
    <row r="75" spans="1:17" x14ac:dyDescent="0.3">
      <c r="A75" s="3" t="s">
        <v>20</v>
      </c>
      <c r="B75" s="2" t="s">
        <v>59</v>
      </c>
      <c r="C75" s="3">
        <v>34</v>
      </c>
      <c r="D75" s="3">
        <v>4470</v>
      </c>
      <c r="E75" s="3" t="s">
        <v>48</v>
      </c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5">
        <f t="shared" si="2"/>
        <v>0</v>
      </c>
    </row>
    <row r="76" spans="1:17" x14ac:dyDescent="0.3">
      <c r="A76" s="3" t="s">
        <v>20</v>
      </c>
      <c r="B76" s="2" t="s">
        <v>59</v>
      </c>
      <c r="C76" s="3">
        <v>35</v>
      </c>
      <c r="D76" s="3">
        <v>4470</v>
      </c>
      <c r="E76" s="3" t="s">
        <v>48</v>
      </c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5">
        <f t="shared" si="2"/>
        <v>0</v>
      </c>
    </row>
    <row r="77" spans="1:17" x14ac:dyDescent="0.3">
      <c r="A77" s="3" t="s">
        <v>20</v>
      </c>
      <c r="B77" s="2" t="s">
        <v>59</v>
      </c>
      <c r="C77" s="3">
        <v>36</v>
      </c>
      <c r="D77" s="3">
        <v>4470</v>
      </c>
      <c r="E77" s="3" t="s">
        <v>48</v>
      </c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5">
        <f t="shared" si="2"/>
        <v>0</v>
      </c>
    </row>
    <row r="78" spans="1:17" x14ac:dyDescent="0.3">
      <c r="A78" s="3" t="s">
        <v>20</v>
      </c>
      <c r="B78" s="2" t="s">
        <v>59</v>
      </c>
      <c r="C78" s="3">
        <v>37</v>
      </c>
      <c r="D78" s="3">
        <v>4470</v>
      </c>
      <c r="E78" s="3" t="s">
        <v>48</v>
      </c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5">
        <f t="shared" si="2"/>
        <v>0</v>
      </c>
    </row>
    <row r="79" spans="1:17" x14ac:dyDescent="0.3">
      <c r="A79" s="3" t="s">
        <v>20</v>
      </c>
      <c r="B79" s="2" t="s">
        <v>59</v>
      </c>
      <c r="C79" s="3">
        <v>38</v>
      </c>
      <c r="D79" s="3">
        <v>4470</v>
      </c>
      <c r="E79" s="3" t="s">
        <v>48</v>
      </c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5">
        <f t="shared" si="2"/>
        <v>0</v>
      </c>
    </row>
    <row r="80" spans="1:17" x14ac:dyDescent="0.3">
      <c r="A80" s="3" t="s">
        <v>20</v>
      </c>
      <c r="B80" s="2" t="s">
        <v>59</v>
      </c>
      <c r="C80" s="3">
        <v>39</v>
      </c>
      <c r="D80" s="3">
        <v>4470</v>
      </c>
      <c r="E80" s="3" t="s">
        <v>48</v>
      </c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5">
        <f t="shared" si="2"/>
        <v>0</v>
      </c>
    </row>
    <row r="81" spans="1:17" x14ac:dyDescent="0.3">
      <c r="A81" s="3" t="s">
        <v>20</v>
      </c>
      <c r="B81" s="2" t="s">
        <v>59</v>
      </c>
      <c r="C81" s="3">
        <v>54</v>
      </c>
      <c r="D81" s="3">
        <v>4470</v>
      </c>
      <c r="E81" s="3" t="s">
        <v>48</v>
      </c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5">
        <f t="shared" si="2"/>
        <v>0</v>
      </c>
    </row>
    <row r="82" spans="1:17" x14ac:dyDescent="0.3">
      <c r="A82" s="3" t="s">
        <v>20</v>
      </c>
      <c r="B82" s="2" t="s">
        <v>59</v>
      </c>
      <c r="C82" s="3">
        <v>170</v>
      </c>
      <c r="D82" s="3">
        <v>4470</v>
      </c>
      <c r="E82" s="3" t="s">
        <v>48</v>
      </c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5">
        <f t="shared" si="2"/>
        <v>0</v>
      </c>
    </row>
    <row r="83" spans="1:17" x14ac:dyDescent="0.3">
      <c r="A83" s="3" t="s">
        <v>20</v>
      </c>
      <c r="B83" s="2" t="s">
        <v>59</v>
      </c>
      <c r="C83" s="3">
        <v>176</v>
      </c>
      <c r="D83" s="3">
        <v>4470</v>
      </c>
      <c r="E83" s="3" t="s">
        <v>48</v>
      </c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5">
        <f t="shared" si="2"/>
        <v>0</v>
      </c>
    </row>
    <row r="84" spans="1:17" x14ac:dyDescent="0.3">
      <c r="A84" s="3" t="s">
        <v>20</v>
      </c>
      <c r="B84" s="2" t="s">
        <v>59</v>
      </c>
      <c r="C84" s="3">
        <v>191</v>
      </c>
      <c r="D84" s="3">
        <v>4470</v>
      </c>
      <c r="E84" s="3" t="s">
        <v>48</v>
      </c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5">
        <f t="shared" si="2"/>
        <v>0</v>
      </c>
    </row>
    <row r="85" spans="1:17" x14ac:dyDescent="0.3">
      <c r="A85" s="3" t="s">
        <v>20</v>
      </c>
      <c r="B85" s="2" t="s">
        <v>59</v>
      </c>
      <c r="C85" s="3">
        <v>196</v>
      </c>
      <c r="D85" s="3">
        <v>4470</v>
      </c>
      <c r="E85" s="3" t="s">
        <v>48</v>
      </c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5">
        <f t="shared" si="2"/>
        <v>0</v>
      </c>
    </row>
    <row r="86" spans="1:17" x14ac:dyDescent="0.3">
      <c r="A86" s="3" t="s">
        <v>20</v>
      </c>
      <c r="B86" s="2" t="s">
        <v>59</v>
      </c>
      <c r="C86" s="3">
        <v>206</v>
      </c>
      <c r="D86" s="3">
        <v>4470</v>
      </c>
      <c r="E86" s="3" t="s">
        <v>48</v>
      </c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5">
        <f t="shared" si="2"/>
        <v>0</v>
      </c>
    </row>
    <row r="87" spans="1:17" x14ac:dyDescent="0.3">
      <c r="A87" s="3" t="s">
        <v>20</v>
      </c>
      <c r="B87" s="2" t="s">
        <v>59</v>
      </c>
      <c r="C87" s="3">
        <v>207</v>
      </c>
      <c r="D87" s="3">
        <v>4470</v>
      </c>
      <c r="E87" s="3" t="s">
        <v>48</v>
      </c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5">
        <f t="shared" si="2"/>
        <v>0</v>
      </c>
    </row>
    <row r="88" spans="1:17" x14ac:dyDescent="0.3">
      <c r="A88" s="3" t="s">
        <v>20</v>
      </c>
      <c r="B88" s="2" t="s">
        <v>59</v>
      </c>
      <c r="C88" s="3">
        <v>215</v>
      </c>
      <c r="D88" s="3">
        <v>4470</v>
      </c>
      <c r="E88" s="3" t="s">
        <v>48</v>
      </c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5">
        <f t="shared" si="2"/>
        <v>0</v>
      </c>
    </row>
    <row r="89" spans="1:17" x14ac:dyDescent="0.3">
      <c r="A89" s="3" t="s">
        <v>20</v>
      </c>
      <c r="B89" s="2" t="s">
        <v>60</v>
      </c>
      <c r="C89" s="3">
        <v>67</v>
      </c>
      <c r="D89" s="3">
        <v>1839</v>
      </c>
      <c r="E89" s="3" t="s">
        <v>48</v>
      </c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5">
        <f t="shared" si="2"/>
        <v>0</v>
      </c>
    </row>
    <row r="90" spans="1:17" x14ac:dyDescent="0.3">
      <c r="A90" s="3" t="s">
        <v>20</v>
      </c>
      <c r="B90" s="2" t="s">
        <v>60</v>
      </c>
      <c r="C90" s="3">
        <v>73</v>
      </c>
      <c r="D90" s="3">
        <v>1839</v>
      </c>
      <c r="E90" s="3" t="s">
        <v>48</v>
      </c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5">
        <f t="shared" si="2"/>
        <v>0</v>
      </c>
    </row>
    <row r="91" spans="1:17" x14ac:dyDescent="0.3">
      <c r="A91" s="3" t="s">
        <v>20</v>
      </c>
      <c r="B91" s="2" t="s">
        <v>60</v>
      </c>
      <c r="C91" s="3">
        <v>138</v>
      </c>
      <c r="D91" s="3">
        <v>1839</v>
      </c>
      <c r="E91" s="3" t="s">
        <v>48</v>
      </c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5">
        <f t="shared" si="2"/>
        <v>0</v>
      </c>
    </row>
    <row r="92" spans="1:17" x14ac:dyDescent="0.3">
      <c r="A92" s="3" t="s">
        <v>20</v>
      </c>
      <c r="B92" s="2" t="s">
        <v>60</v>
      </c>
      <c r="C92" s="3">
        <v>177</v>
      </c>
      <c r="D92" s="3">
        <v>1839</v>
      </c>
      <c r="E92" s="3" t="s">
        <v>48</v>
      </c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5">
        <f t="shared" si="2"/>
        <v>0</v>
      </c>
    </row>
    <row r="93" spans="1:17" x14ac:dyDescent="0.3">
      <c r="A93" s="3" t="s">
        <v>20</v>
      </c>
      <c r="B93" s="2" t="s">
        <v>60</v>
      </c>
      <c r="C93" s="3">
        <v>188</v>
      </c>
      <c r="D93" s="3">
        <v>1839</v>
      </c>
      <c r="E93" s="3" t="s">
        <v>48</v>
      </c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5">
        <f t="shared" si="2"/>
        <v>0</v>
      </c>
    </row>
    <row r="94" spans="1:17" x14ac:dyDescent="0.3">
      <c r="A94" s="3" t="s">
        <v>20</v>
      </c>
      <c r="B94" s="2" t="s">
        <v>60</v>
      </c>
      <c r="C94" s="3">
        <v>192</v>
      </c>
      <c r="D94" s="3">
        <v>1839</v>
      </c>
      <c r="E94" s="3" t="s">
        <v>48</v>
      </c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5">
        <f t="shared" si="2"/>
        <v>0</v>
      </c>
    </row>
    <row r="95" spans="1:17" x14ac:dyDescent="0.3">
      <c r="A95" s="3" t="s">
        <v>20</v>
      </c>
      <c r="B95" s="2" t="s">
        <v>61</v>
      </c>
      <c r="C95" s="3">
        <v>211</v>
      </c>
      <c r="D95" s="3">
        <v>31</v>
      </c>
      <c r="E95" s="3" t="s">
        <v>48</v>
      </c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5">
        <f t="shared" si="2"/>
        <v>0</v>
      </c>
    </row>
    <row r="96" spans="1:17" x14ac:dyDescent="0.3">
      <c r="A96" s="3" t="s">
        <v>20</v>
      </c>
      <c r="B96" s="2" t="s">
        <v>62</v>
      </c>
      <c r="C96" s="3">
        <v>212</v>
      </c>
      <c r="D96" s="3">
        <v>558</v>
      </c>
      <c r="E96" s="3" t="s">
        <v>48</v>
      </c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5">
        <f t="shared" si="2"/>
        <v>0</v>
      </c>
    </row>
    <row r="97" spans="1:17" x14ac:dyDescent="0.3">
      <c r="A97" s="3" t="s">
        <v>20</v>
      </c>
      <c r="B97" s="2" t="s">
        <v>62</v>
      </c>
      <c r="C97" s="3">
        <v>213</v>
      </c>
      <c r="D97" s="3">
        <v>558</v>
      </c>
      <c r="E97" s="3" t="s">
        <v>48</v>
      </c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5">
        <f t="shared" si="2"/>
        <v>0</v>
      </c>
    </row>
    <row r="98" spans="1:17" x14ac:dyDescent="0.3">
      <c r="A98" s="3" t="s">
        <v>20</v>
      </c>
      <c r="B98" s="2" t="s">
        <v>63</v>
      </c>
      <c r="C98" s="3">
        <v>65</v>
      </c>
      <c r="D98" s="3">
        <v>1588</v>
      </c>
      <c r="E98" s="3" t="s">
        <v>48</v>
      </c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5">
        <f t="shared" si="2"/>
        <v>0</v>
      </c>
    </row>
    <row r="99" spans="1:17" x14ac:dyDescent="0.3">
      <c r="A99" s="3" t="s">
        <v>20</v>
      </c>
      <c r="B99" s="2" t="s">
        <v>63</v>
      </c>
      <c r="C99" s="3">
        <v>68</v>
      </c>
      <c r="D99" s="3">
        <v>1588</v>
      </c>
      <c r="E99" s="3" t="s">
        <v>48</v>
      </c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5">
        <f t="shared" si="2"/>
        <v>0</v>
      </c>
    </row>
    <row r="100" spans="1:17" x14ac:dyDescent="0.3">
      <c r="A100" s="3" t="s">
        <v>20</v>
      </c>
      <c r="B100" s="2" t="s">
        <v>63</v>
      </c>
      <c r="C100" s="3">
        <v>74</v>
      </c>
      <c r="D100" s="3">
        <v>1588</v>
      </c>
      <c r="E100" s="3" t="s">
        <v>48</v>
      </c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5">
        <f t="shared" si="2"/>
        <v>0</v>
      </c>
    </row>
    <row r="101" spans="1:17" x14ac:dyDescent="0.3">
      <c r="A101" s="3" t="s">
        <v>20</v>
      </c>
      <c r="B101" s="2" t="s">
        <v>63</v>
      </c>
      <c r="C101" s="3">
        <v>75</v>
      </c>
      <c r="D101" s="3">
        <v>1588</v>
      </c>
      <c r="E101" s="3" t="s">
        <v>48</v>
      </c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5">
        <f t="shared" ref="Q101:Q102" si="3">SUM(F101:P101)</f>
        <v>0</v>
      </c>
    </row>
    <row r="102" spans="1:17" x14ac:dyDescent="0.3">
      <c r="A102" s="3" t="s">
        <v>20</v>
      </c>
      <c r="B102" s="2" t="s">
        <v>63</v>
      </c>
      <c r="C102" s="3">
        <v>76</v>
      </c>
      <c r="D102" s="3">
        <v>1588</v>
      </c>
      <c r="E102" s="3" t="s">
        <v>48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5">
        <f t="shared" si="3"/>
        <v>0</v>
      </c>
    </row>
  </sheetData>
  <autoFilter ref="A4:O102" xr:uid="{00000000-0009-0000-0000-000001000000}"/>
  <mergeCells count="2">
    <mergeCell ref="A1:Q1"/>
    <mergeCell ref="A2:Q2"/>
  </mergeCells>
  <dataValidations count="1">
    <dataValidation type="list" allowBlank="1" sqref="E5:E102" xr:uid="{00000000-0002-0000-01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55"/>
  <sheetViews>
    <sheetView zoomScaleNormal="100" workbookViewId="0">
      <pane ySplit="3" topLeftCell="A4" activePane="bottomLeft" state="frozen"/>
      <selection pane="bottomLeft" activeCell="A9" sqref="A9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64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22</v>
      </c>
      <c r="B4" s="10" t="s">
        <v>65</v>
      </c>
      <c r="C4" s="11">
        <v>23</v>
      </c>
      <c r="D4" s="11">
        <v>5110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35" si="0">SUM(F4:P4)</f>
        <v>0</v>
      </c>
    </row>
    <row r="5" spans="1:17" x14ac:dyDescent="0.3">
      <c r="A5" s="7" t="s">
        <v>22</v>
      </c>
      <c r="B5" s="6" t="s">
        <v>65</v>
      </c>
      <c r="C5" s="7">
        <v>24</v>
      </c>
      <c r="D5" s="7">
        <v>5110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22</v>
      </c>
      <c r="B6" s="10" t="s">
        <v>65</v>
      </c>
      <c r="C6" s="11">
        <v>35</v>
      </c>
      <c r="D6" s="11">
        <v>5110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22</v>
      </c>
      <c r="B7" s="6" t="s">
        <v>65</v>
      </c>
      <c r="C7" s="7">
        <v>36</v>
      </c>
      <c r="D7" s="7">
        <v>5110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22</v>
      </c>
      <c r="B8" s="10" t="s">
        <v>65</v>
      </c>
      <c r="C8" s="11">
        <v>38</v>
      </c>
      <c r="D8" s="11">
        <v>5110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22</v>
      </c>
      <c r="B9" s="6" t="s">
        <v>65</v>
      </c>
      <c r="C9" s="7">
        <v>39</v>
      </c>
      <c r="D9" s="7">
        <v>5110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22</v>
      </c>
      <c r="B10" s="10" t="s">
        <v>65</v>
      </c>
      <c r="C10" s="11">
        <v>40</v>
      </c>
      <c r="D10" s="11">
        <v>5110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22</v>
      </c>
      <c r="B11" s="6" t="s">
        <v>65</v>
      </c>
      <c r="C11" s="7">
        <v>41</v>
      </c>
      <c r="D11" s="7">
        <v>5110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22</v>
      </c>
      <c r="B12" s="10" t="s">
        <v>65</v>
      </c>
      <c r="C12" s="11">
        <v>42</v>
      </c>
      <c r="D12" s="11">
        <v>5110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22</v>
      </c>
      <c r="B13" s="6" t="s">
        <v>65</v>
      </c>
      <c r="C13" s="7">
        <v>43</v>
      </c>
      <c r="D13" s="7">
        <v>5110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22</v>
      </c>
      <c r="B14" s="10" t="s">
        <v>65</v>
      </c>
      <c r="C14" s="11">
        <v>44</v>
      </c>
      <c r="D14" s="11">
        <v>5110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22</v>
      </c>
      <c r="B15" s="6" t="s">
        <v>65</v>
      </c>
      <c r="C15" s="7">
        <v>47</v>
      </c>
      <c r="D15" s="7">
        <v>5110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  <row r="16" spans="1:17" x14ac:dyDescent="0.3">
      <c r="A16" s="11" t="s">
        <v>22</v>
      </c>
      <c r="B16" s="10" t="s">
        <v>65</v>
      </c>
      <c r="C16" s="11">
        <v>48</v>
      </c>
      <c r="D16" s="11">
        <v>5110</v>
      </c>
      <c r="E16" s="11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13">
        <f t="shared" si="0"/>
        <v>0</v>
      </c>
    </row>
    <row r="17" spans="1:17" x14ac:dyDescent="0.3">
      <c r="A17" s="7" t="s">
        <v>22</v>
      </c>
      <c r="B17" s="6" t="s">
        <v>65</v>
      </c>
      <c r="C17" s="7">
        <v>49</v>
      </c>
      <c r="D17" s="7">
        <v>5110</v>
      </c>
      <c r="E17" s="7" t="s">
        <v>48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9">
        <f t="shared" si="0"/>
        <v>0</v>
      </c>
    </row>
    <row r="18" spans="1:17" x14ac:dyDescent="0.3">
      <c r="A18" s="11" t="s">
        <v>22</v>
      </c>
      <c r="B18" s="10" t="s">
        <v>65</v>
      </c>
      <c r="C18" s="11">
        <v>50</v>
      </c>
      <c r="D18" s="11">
        <v>5110</v>
      </c>
      <c r="E18" s="11" t="s">
        <v>48</v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13">
        <f t="shared" si="0"/>
        <v>0</v>
      </c>
    </row>
    <row r="19" spans="1:17" x14ac:dyDescent="0.3">
      <c r="A19" s="7" t="s">
        <v>22</v>
      </c>
      <c r="B19" s="6" t="s">
        <v>65</v>
      </c>
      <c r="C19" s="7">
        <v>51</v>
      </c>
      <c r="D19" s="7">
        <v>5110</v>
      </c>
      <c r="E19" s="7" t="s">
        <v>48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9">
        <f t="shared" si="0"/>
        <v>0</v>
      </c>
    </row>
    <row r="20" spans="1:17" x14ac:dyDescent="0.3">
      <c r="A20" s="11" t="s">
        <v>22</v>
      </c>
      <c r="B20" s="10" t="s">
        <v>65</v>
      </c>
      <c r="C20" s="11">
        <v>59</v>
      </c>
      <c r="D20" s="11">
        <v>5110</v>
      </c>
      <c r="E20" s="11" t="s">
        <v>48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13">
        <f t="shared" si="0"/>
        <v>0</v>
      </c>
    </row>
    <row r="21" spans="1:17" x14ac:dyDescent="0.3">
      <c r="A21" s="7" t="s">
        <v>22</v>
      </c>
      <c r="B21" s="6" t="s">
        <v>65</v>
      </c>
      <c r="C21" s="7">
        <v>61</v>
      </c>
      <c r="D21" s="7">
        <v>5110</v>
      </c>
      <c r="E21" s="7" t="s">
        <v>48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9">
        <f t="shared" si="0"/>
        <v>0</v>
      </c>
    </row>
    <row r="22" spans="1:17" x14ac:dyDescent="0.3">
      <c r="A22" s="11" t="s">
        <v>22</v>
      </c>
      <c r="B22" s="10" t="s">
        <v>66</v>
      </c>
      <c r="C22" s="11">
        <v>57</v>
      </c>
      <c r="D22" s="11">
        <v>484</v>
      </c>
      <c r="E22" s="11" t="s">
        <v>48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13">
        <f t="shared" si="0"/>
        <v>0</v>
      </c>
    </row>
    <row r="23" spans="1:17" x14ac:dyDescent="0.3">
      <c r="A23" s="7" t="s">
        <v>22</v>
      </c>
      <c r="B23" s="6" t="s">
        <v>66</v>
      </c>
      <c r="C23" s="7">
        <v>58</v>
      </c>
      <c r="D23" s="7">
        <v>484</v>
      </c>
      <c r="E23" s="7" t="s">
        <v>48</v>
      </c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9">
        <f t="shared" si="0"/>
        <v>0</v>
      </c>
    </row>
    <row r="24" spans="1:17" x14ac:dyDescent="0.3">
      <c r="A24" s="11" t="s">
        <v>22</v>
      </c>
      <c r="B24" s="10" t="s">
        <v>67</v>
      </c>
      <c r="C24" s="11">
        <v>63</v>
      </c>
      <c r="D24" s="11">
        <v>1323</v>
      </c>
      <c r="E24" s="11" t="s">
        <v>48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13">
        <f t="shared" si="0"/>
        <v>0</v>
      </c>
    </row>
    <row r="25" spans="1:17" x14ac:dyDescent="0.3">
      <c r="A25" s="7" t="s">
        <v>22</v>
      </c>
      <c r="B25" s="6" t="s">
        <v>67</v>
      </c>
      <c r="C25" s="7">
        <v>64</v>
      </c>
      <c r="D25" s="7">
        <v>1323</v>
      </c>
      <c r="E25" s="7" t="s">
        <v>48</v>
      </c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9">
        <f t="shared" si="0"/>
        <v>0</v>
      </c>
    </row>
    <row r="26" spans="1:17" x14ac:dyDescent="0.3">
      <c r="A26" s="11" t="s">
        <v>22</v>
      </c>
      <c r="B26" s="10" t="s">
        <v>67</v>
      </c>
      <c r="C26" s="11">
        <v>84</v>
      </c>
      <c r="D26" s="11">
        <v>1323</v>
      </c>
      <c r="E26" s="11" t="s">
        <v>48</v>
      </c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13">
        <f t="shared" si="0"/>
        <v>0</v>
      </c>
    </row>
    <row r="27" spans="1:17" x14ac:dyDescent="0.3">
      <c r="A27" s="7" t="s">
        <v>22</v>
      </c>
      <c r="B27" s="6" t="s">
        <v>67</v>
      </c>
      <c r="C27" s="7">
        <v>128</v>
      </c>
      <c r="D27" s="7">
        <v>1323</v>
      </c>
      <c r="E27" s="7" t="s">
        <v>48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9">
        <f t="shared" si="0"/>
        <v>0</v>
      </c>
    </row>
    <row r="28" spans="1:17" x14ac:dyDescent="0.3">
      <c r="A28" s="11" t="s">
        <v>22</v>
      </c>
      <c r="B28" s="10" t="s">
        <v>68</v>
      </c>
      <c r="C28" s="11">
        <v>25</v>
      </c>
      <c r="D28" s="11">
        <v>4203</v>
      </c>
      <c r="E28" s="11" t="s">
        <v>48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13">
        <f t="shared" si="0"/>
        <v>0</v>
      </c>
    </row>
    <row r="29" spans="1:17" x14ac:dyDescent="0.3">
      <c r="A29" s="7" t="s">
        <v>22</v>
      </c>
      <c r="B29" s="6" t="s">
        <v>68</v>
      </c>
      <c r="C29" s="7">
        <v>26</v>
      </c>
      <c r="D29" s="7">
        <v>4203</v>
      </c>
      <c r="E29" s="7" t="s">
        <v>48</v>
      </c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9">
        <f t="shared" si="0"/>
        <v>0</v>
      </c>
    </row>
    <row r="30" spans="1:17" x14ac:dyDescent="0.3">
      <c r="A30" s="11" t="s">
        <v>22</v>
      </c>
      <c r="B30" s="10" t="s">
        <v>68</v>
      </c>
      <c r="C30" s="11">
        <v>27</v>
      </c>
      <c r="D30" s="11">
        <v>4203</v>
      </c>
      <c r="E30" s="11" t="s">
        <v>48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13">
        <f t="shared" si="0"/>
        <v>0</v>
      </c>
    </row>
    <row r="31" spans="1:17" x14ac:dyDescent="0.3">
      <c r="A31" s="7" t="s">
        <v>22</v>
      </c>
      <c r="B31" s="6" t="s">
        <v>68</v>
      </c>
      <c r="C31" s="7">
        <v>28</v>
      </c>
      <c r="D31" s="7">
        <v>4203</v>
      </c>
      <c r="E31" s="7" t="s">
        <v>48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9">
        <f t="shared" si="0"/>
        <v>0</v>
      </c>
    </row>
    <row r="32" spans="1:17" x14ac:dyDescent="0.3">
      <c r="A32" s="11" t="s">
        <v>22</v>
      </c>
      <c r="B32" s="10" t="s">
        <v>68</v>
      </c>
      <c r="C32" s="11">
        <v>33</v>
      </c>
      <c r="D32" s="11">
        <v>4203</v>
      </c>
      <c r="E32" s="11" t="s">
        <v>48</v>
      </c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13">
        <f t="shared" si="0"/>
        <v>0</v>
      </c>
    </row>
    <row r="33" spans="1:17" x14ac:dyDescent="0.3">
      <c r="A33" s="7" t="s">
        <v>22</v>
      </c>
      <c r="B33" s="6" t="s">
        <v>68</v>
      </c>
      <c r="C33" s="7">
        <v>34</v>
      </c>
      <c r="D33" s="7">
        <v>4203</v>
      </c>
      <c r="E33" s="7" t="s">
        <v>48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9">
        <f t="shared" si="0"/>
        <v>0</v>
      </c>
    </row>
    <row r="34" spans="1:17" x14ac:dyDescent="0.3">
      <c r="A34" s="11" t="s">
        <v>22</v>
      </c>
      <c r="B34" s="10" t="s">
        <v>68</v>
      </c>
      <c r="C34" s="11">
        <v>37</v>
      </c>
      <c r="D34" s="11">
        <v>4203</v>
      </c>
      <c r="E34" s="11" t="s">
        <v>48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13">
        <f t="shared" si="0"/>
        <v>0</v>
      </c>
    </row>
    <row r="35" spans="1:17" x14ac:dyDescent="0.3">
      <c r="A35" s="7" t="s">
        <v>22</v>
      </c>
      <c r="B35" s="6" t="s">
        <v>68</v>
      </c>
      <c r="C35" s="7">
        <v>45</v>
      </c>
      <c r="D35" s="7">
        <v>4203</v>
      </c>
      <c r="E35" s="7" t="s">
        <v>48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9">
        <f t="shared" si="0"/>
        <v>0</v>
      </c>
    </row>
    <row r="36" spans="1:17" x14ac:dyDescent="0.3">
      <c r="A36" s="11" t="s">
        <v>22</v>
      </c>
      <c r="B36" s="10" t="s">
        <v>68</v>
      </c>
      <c r="C36" s="11">
        <v>46</v>
      </c>
      <c r="D36" s="11">
        <v>4203</v>
      </c>
      <c r="E36" s="11" t="s">
        <v>48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13">
        <f t="shared" ref="Q36:Q55" si="1">SUM(F36:P36)</f>
        <v>0</v>
      </c>
    </row>
    <row r="37" spans="1:17" x14ac:dyDescent="0.3">
      <c r="A37" s="7" t="s">
        <v>22</v>
      </c>
      <c r="B37" s="6" t="s">
        <v>68</v>
      </c>
      <c r="C37" s="7">
        <v>60</v>
      </c>
      <c r="D37" s="7">
        <v>4203</v>
      </c>
      <c r="E37" s="7" t="s">
        <v>48</v>
      </c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9">
        <f t="shared" si="1"/>
        <v>0</v>
      </c>
    </row>
    <row r="38" spans="1:17" x14ac:dyDescent="0.3">
      <c r="A38" s="11" t="s">
        <v>22</v>
      </c>
      <c r="B38" s="10" t="s">
        <v>68</v>
      </c>
      <c r="C38" s="11">
        <v>67</v>
      </c>
      <c r="D38" s="11">
        <v>4203</v>
      </c>
      <c r="E38" s="11" t="s">
        <v>48</v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13">
        <f t="shared" si="1"/>
        <v>0</v>
      </c>
    </row>
    <row r="39" spans="1:17" x14ac:dyDescent="0.3">
      <c r="A39" s="7" t="s">
        <v>22</v>
      </c>
      <c r="B39" s="6" t="s">
        <v>68</v>
      </c>
      <c r="C39" s="7">
        <v>85</v>
      </c>
      <c r="D39" s="7">
        <v>4203</v>
      </c>
      <c r="E39" s="7" t="s">
        <v>48</v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9">
        <f t="shared" si="1"/>
        <v>0</v>
      </c>
    </row>
    <row r="40" spans="1:17" x14ac:dyDescent="0.3">
      <c r="A40" s="11" t="s">
        <v>22</v>
      </c>
      <c r="B40" s="10" t="s">
        <v>68</v>
      </c>
      <c r="C40" s="11">
        <v>89</v>
      </c>
      <c r="D40" s="11">
        <v>4203</v>
      </c>
      <c r="E40" s="11" t="s">
        <v>48</v>
      </c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13">
        <f t="shared" si="1"/>
        <v>0</v>
      </c>
    </row>
    <row r="41" spans="1:17" x14ac:dyDescent="0.3">
      <c r="A41" s="7" t="s">
        <v>22</v>
      </c>
      <c r="B41" s="6" t="s">
        <v>68</v>
      </c>
      <c r="C41" s="7">
        <v>91</v>
      </c>
      <c r="D41" s="7">
        <v>4203</v>
      </c>
      <c r="E41" s="7" t="s">
        <v>48</v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9">
        <f t="shared" si="1"/>
        <v>0</v>
      </c>
    </row>
    <row r="42" spans="1:17" x14ac:dyDescent="0.3">
      <c r="A42" s="11" t="s">
        <v>22</v>
      </c>
      <c r="B42" s="10" t="s">
        <v>68</v>
      </c>
      <c r="C42" s="11">
        <v>95</v>
      </c>
      <c r="D42" s="11">
        <v>4203</v>
      </c>
      <c r="E42" s="11" t="s">
        <v>48</v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13">
        <f t="shared" si="1"/>
        <v>0</v>
      </c>
    </row>
    <row r="43" spans="1:17" x14ac:dyDescent="0.3">
      <c r="A43" s="7" t="s">
        <v>22</v>
      </c>
      <c r="B43" s="6" t="s">
        <v>68</v>
      </c>
      <c r="C43" s="7">
        <v>101</v>
      </c>
      <c r="D43" s="7">
        <v>4203</v>
      </c>
      <c r="E43" s="7" t="s">
        <v>48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9">
        <f t="shared" si="1"/>
        <v>0</v>
      </c>
    </row>
    <row r="44" spans="1:17" x14ac:dyDescent="0.3">
      <c r="A44" s="11" t="s">
        <v>22</v>
      </c>
      <c r="B44" s="10" t="s">
        <v>69</v>
      </c>
      <c r="C44" s="11">
        <v>65</v>
      </c>
      <c r="D44" s="11">
        <v>1080</v>
      </c>
      <c r="E44" s="11" t="s">
        <v>48</v>
      </c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13">
        <f t="shared" si="1"/>
        <v>0</v>
      </c>
    </row>
    <row r="45" spans="1:17" x14ac:dyDescent="0.3">
      <c r="A45" s="7" t="s">
        <v>22</v>
      </c>
      <c r="B45" s="6" t="s">
        <v>69</v>
      </c>
      <c r="C45" s="7">
        <v>92</v>
      </c>
      <c r="D45" s="7">
        <v>1080</v>
      </c>
      <c r="E45" s="7" t="s">
        <v>48</v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9">
        <f t="shared" si="1"/>
        <v>0</v>
      </c>
    </row>
    <row r="46" spans="1:17" x14ac:dyDescent="0.3">
      <c r="A46" s="11" t="s">
        <v>22</v>
      </c>
      <c r="B46" s="10" t="s">
        <v>69</v>
      </c>
      <c r="C46" s="11">
        <v>127</v>
      </c>
      <c r="D46" s="11">
        <v>1080</v>
      </c>
      <c r="E46" s="11" t="s">
        <v>48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13">
        <f t="shared" si="1"/>
        <v>0</v>
      </c>
    </row>
    <row r="47" spans="1:17" x14ac:dyDescent="0.3">
      <c r="A47" s="7" t="s">
        <v>22</v>
      </c>
      <c r="B47" s="6" t="s">
        <v>69</v>
      </c>
      <c r="C47" s="7">
        <v>131</v>
      </c>
      <c r="D47" s="7">
        <v>1080</v>
      </c>
      <c r="E47" s="7" t="s">
        <v>48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9">
        <f t="shared" si="1"/>
        <v>0</v>
      </c>
    </row>
    <row r="48" spans="1:17" x14ac:dyDescent="0.3">
      <c r="A48" s="11" t="s">
        <v>22</v>
      </c>
      <c r="B48" s="10" t="s">
        <v>70</v>
      </c>
      <c r="C48" s="11">
        <v>20</v>
      </c>
      <c r="D48" s="11">
        <v>1968</v>
      </c>
      <c r="E48" s="11" t="s">
        <v>48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13">
        <f t="shared" si="1"/>
        <v>0</v>
      </c>
    </row>
    <row r="49" spans="1:17" x14ac:dyDescent="0.3">
      <c r="A49" s="7" t="s">
        <v>22</v>
      </c>
      <c r="B49" s="6" t="s">
        <v>70</v>
      </c>
      <c r="C49" s="7">
        <v>29</v>
      </c>
      <c r="D49" s="7">
        <v>1968</v>
      </c>
      <c r="E49" s="7" t="s">
        <v>48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9">
        <f t="shared" si="1"/>
        <v>0</v>
      </c>
    </row>
    <row r="50" spans="1:17" x14ac:dyDescent="0.3">
      <c r="A50" s="11" t="s">
        <v>22</v>
      </c>
      <c r="B50" s="10" t="s">
        <v>70</v>
      </c>
      <c r="C50" s="11">
        <v>30</v>
      </c>
      <c r="D50" s="11">
        <v>1968</v>
      </c>
      <c r="E50" s="11" t="s">
        <v>48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13">
        <f t="shared" si="1"/>
        <v>0</v>
      </c>
    </row>
    <row r="51" spans="1:17" x14ac:dyDescent="0.3">
      <c r="A51" s="7" t="s">
        <v>22</v>
      </c>
      <c r="B51" s="6" t="s">
        <v>70</v>
      </c>
      <c r="C51" s="7">
        <v>31</v>
      </c>
      <c r="D51" s="7">
        <v>1968</v>
      </c>
      <c r="E51" s="7" t="s">
        <v>48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9">
        <f t="shared" si="1"/>
        <v>0</v>
      </c>
    </row>
    <row r="52" spans="1:17" x14ac:dyDescent="0.3">
      <c r="A52" s="11" t="s">
        <v>22</v>
      </c>
      <c r="B52" s="10" t="s">
        <v>70</v>
      </c>
      <c r="C52" s="11">
        <v>32</v>
      </c>
      <c r="D52" s="11">
        <v>1968</v>
      </c>
      <c r="E52" s="11" t="s">
        <v>48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13">
        <f t="shared" si="1"/>
        <v>0</v>
      </c>
    </row>
    <row r="53" spans="1:17" x14ac:dyDescent="0.3">
      <c r="A53" s="7" t="s">
        <v>22</v>
      </c>
      <c r="B53" s="6" t="s">
        <v>70</v>
      </c>
      <c r="C53" s="7">
        <v>62</v>
      </c>
      <c r="D53" s="7">
        <v>1968</v>
      </c>
      <c r="E53" s="7" t="s">
        <v>48</v>
      </c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9">
        <f t="shared" si="1"/>
        <v>0</v>
      </c>
    </row>
    <row r="54" spans="1:17" x14ac:dyDescent="0.3">
      <c r="A54" s="11" t="s">
        <v>22</v>
      </c>
      <c r="B54" s="10" t="s">
        <v>70</v>
      </c>
      <c r="C54" s="11">
        <v>86</v>
      </c>
      <c r="D54" s="11">
        <v>1968</v>
      </c>
      <c r="E54" s="11" t="s">
        <v>48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13">
        <f t="shared" si="1"/>
        <v>0</v>
      </c>
    </row>
    <row r="55" spans="1:17" x14ac:dyDescent="0.3">
      <c r="A55" s="7" t="s">
        <v>22</v>
      </c>
      <c r="B55" s="6" t="s">
        <v>70</v>
      </c>
      <c r="C55" s="7">
        <v>88</v>
      </c>
      <c r="D55" s="7">
        <v>1968</v>
      </c>
      <c r="E55" s="7" t="s">
        <v>48</v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9">
        <f t="shared" si="1"/>
        <v>0</v>
      </c>
    </row>
  </sheetData>
  <autoFilter ref="A3:O55" xr:uid="{00000000-0009-0000-0000-000002000000}"/>
  <mergeCells count="2">
    <mergeCell ref="A1:Q1"/>
    <mergeCell ref="A2:Q2"/>
  </mergeCells>
  <dataValidations count="1">
    <dataValidation type="list" allowBlank="1" sqref="E4:E55" xr:uid="{00000000-0002-0000-02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2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71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20</v>
      </c>
      <c r="B4" s="10" t="s">
        <v>72</v>
      </c>
      <c r="C4" s="11">
        <v>11</v>
      </c>
      <c r="D4" s="11">
        <v>394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22" si="0">SUM(F4:P4)</f>
        <v>0</v>
      </c>
    </row>
    <row r="5" spans="1:17" x14ac:dyDescent="0.3">
      <c r="A5" s="7" t="s">
        <v>20</v>
      </c>
      <c r="B5" s="6" t="s">
        <v>72</v>
      </c>
      <c r="C5" s="7">
        <v>203</v>
      </c>
      <c r="D5" s="7">
        <v>394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20</v>
      </c>
      <c r="B6" s="10" t="s">
        <v>73</v>
      </c>
      <c r="C6" s="11">
        <v>1</v>
      </c>
      <c r="D6" s="11">
        <v>3446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20</v>
      </c>
      <c r="B7" s="6" t="s">
        <v>73</v>
      </c>
      <c r="C7" s="7">
        <v>2</v>
      </c>
      <c r="D7" s="7">
        <v>3446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20</v>
      </c>
      <c r="B8" s="10" t="s">
        <v>73</v>
      </c>
      <c r="C8" s="11">
        <v>3</v>
      </c>
      <c r="D8" s="11">
        <v>3446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20</v>
      </c>
      <c r="B9" s="6" t="s">
        <v>73</v>
      </c>
      <c r="C9" s="7">
        <v>4</v>
      </c>
      <c r="D9" s="7">
        <v>3446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20</v>
      </c>
      <c r="B10" s="10" t="s">
        <v>73</v>
      </c>
      <c r="C10" s="11">
        <v>6</v>
      </c>
      <c r="D10" s="11">
        <v>3446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20</v>
      </c>
      <c r="B11" s="6" t="s">
        <v>73</v>
      </c>
      <c r="C11" s="7">
        <v>9</v>
      </c>
      <c r="D11" s="7">
        <v>3446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20</v>
      </c>
      <c r="B12" s="10" t="s">
        <v>73</v>
      </c>
      <c r="C12" s="11">
        <v>10</v>
      </c>
      <c r="D12" s="11">
        <v>3446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20</v>
      </c>
      <c r="B13" s="6" t="s">
        <v>73</v>
      </c>
      <c r="C13" s="7">
        <v>195</v>
      </c>
      <c r="D13" s="7">
        <v>3446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20</v>
      </c>
      <c r="B14" s="10" t="s">
        <v>73</v>
      </c>
      <c r="C14" s="11">
        <v>210</v>
      </c>
      <c r="D14" s="11">
        <v>3446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20</v>
      </c>
      <c r="B15" s="6" t="s">
        <v>74</v>
      </c>
      <c r="C15" s="7">
        <v>7</v>
      </c>
      <c r="D15" s="7">
        <v>2454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  <row r="16" spans="1:17" x14ac:dyDescent="0.3">
      <c r="A16" s="11" t="s">
        <v>20</v>
      </c>
      <c r="B16" s="10" t="s">
        <v>74</v>
      </c>
      <c r="C16" s="11">
        <v>8</v>
      </c>
      <c r="D16" s="11">
        <v>2454</v>
      </c>
      <c r="E16" s="11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13">
        <f t="shared" si="0"/>
        <v>0</v>
      </c>
    </row>
    <row r="17" spans="1:17" x14ac:dyDescent="0.3">
      <c r="A17" s="7" t="s">
        <v>20</v>
      </c>
      <c r="B17" s="6" t="s">
        <v>74</v>
      </c>
      <c r="C17" s="7">
        <v>13</v>
      </c>
      <c r="D17" s="7">
        <v>2454</v>
      </c>
      <c r="E17" s="7" t="s">
        <v>48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9">
        <f t="shared" si="0"/>
        <v>0</v>
      </c>
    </row>
    <row r="18" spans="1:17" x14ac:dyDescent="0.3">
      <c r="A18" s="11" t="s">
        <v>20</v>
      </c>
      <c r="B18" s="10" t="s">
        <v>74</v>
      </c>
      <c r="C18" s="11">
        <v>14</v>
      </c>
      <c r="D18" s="11">
        <v>2454</v>
      </c>
      <c r="E18" s="11" t="s">
        <v>48</v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13">
        <f t="shared" si="0"/>
        <v>0</v>
      </c>
    </row>
    <row r="19" spans="1:17" x14ac:dyDescent="0.3">
      <c r="A19" s="7" t="s">
        <v>20</v>
      </c>
      <c r="B19" s="6" t="s">
        <v>74</v>
      </c>
      <c r="C19" s="7">
        <v>143</v>
      </c>
      <c r="D19" s="7">
        <v>2454</v>
      </c>
      <c r="E19" s="7" t="s">
        <v>48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9">
        <f t="shared" si="0"/>
        <v>0</v>
      </c>
    </row>
    <row r="20" spans="1:17" x14ac:dyDescent="0.3">
      <c r="A20" s="11" t="s">
        <v>20</v>
      </c>
      <c r="B20" s="10" t="s">
        <v>74</v>
      </c>
      <c r="C20" s="11">
        <v>173</v>
      </c>
      <c r="D20" s="11">
        <v>2454</v>
      </c>
      <c r="E20" s="11" t="s">
        <v>48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13">
        <f t="shared" si="0"/>
        <v>0</v>
      </c>
    </row>
    <row r="21" spans="1:17" x14ac:dyDescent="0.3">
      <c r="A21" s="7" t="s">
        <v>20</v>
      </c>
      <c r="B21" s="6" t="s">
        <v>74</v>
      </c>
      <c r="C21" s="7">
        <v>175</v>
      </c>
      <c r="D21" s="7">
        <v>2454</v>
      </c>
      <c r="E21" s="7" t="s">
        <v>48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9">
        <f t="shared" si="0"/>
        <v>0</v>
      </c>
    </row>
    <row r="22" spans="1:17" x14ac:dyDescent="0.3">
      <c r="A22" s="11" t="s">
        <v>20</v>
      </c>
      <c r="B22" s="10" t="s">
        <v>74</v>
      </c>
      <c r="C22" s="11">
        <v>214</v>
      </c>
      <c r="D22" s="11">
        <v>2454</v>
      </c>
      <c r="E22" s="11" t="s">
        <v>48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13">
        <f t="shared" si="0"/>
        <v>0</v>
      </c>
    </row>
  </sheetData>
  <autoFilter ref="A3:O22" xr:uid="{00000000-0009-0000-0000-000003000000}"/>
  <mergeCells count="2">
    <mergeCell ref="A1:Q1"/>
    <mergeCell ref="A2:Q2"/>
  </mergeCells>
  <dataValidations count="1">
    <dataValidation type="list" allowBlank="1" sqref="E4:E22" xr:uid="{00000000-0002-0000-03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75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22</v>
      </c>
      <c r="B4" s="10" t="s">
        <v>76</v>
      </c>
      <c r="C4" s="11">
        <v>71</v>
      </c>
      <c r="D4" s="11">
        <v>2679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9" si="0">SUM(F4:P4)</f>
        <v>0</v>
      </c>
    </row>
    <row r="5" spans="1:17" x14ac:dyDescent="0.3">
      <c r="A5" s="7" t="s">
        <v>22</v>
      </c>
      <c r="B5" s="6" t="s">
        <v>76</v>
      </c>
      <c r="C5" s="7">
        <v>72</v>
      </c>
      <c r="D5" s="7">
        <v>2679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22</v>
      </c>
      <c r="B6" s="10" t="s">
        <v>76</v>
      </c>
      <c r="C6" s="11">
        <v>73</v>
      </c>
      <c r="D6" s="11">
        <v>2679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22</v>
      </c>
      <c r="B7" s="6" t="s">
        <v>76</v>
      </c>
      <c r="C7" s="7">
        <v>74</v>
      </c>
      <c r="D7" s="7">
        <v>2679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22</v>
      </c>
      <c r="B8" s="10" t="s">
        <v>76</v>
      </c>
      <c r="C8" s="11">
        <v>75</v>
      </c>
      <c r="D8" s="11">
        <v>2679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22</v>
      </c>
      <c r="B9" s="6" t="s">
        <v>76</v>
      </c>
      <c r="C9" s="7">
        <v>76</v>
      </c>
      <c r="D9" s="7">
        <v>2679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22</v>
      </c>
      <c r="B10" s="10" t="s">
        <v>76</v>
      </c>
      <c r="C10" s="11">
        <v>82</v>
      </c>
      <c r="D10" s="11">
        <v>2679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22</v>
      </c>
      <c r="B11" s="6" t="s">
        <v>76</v>
      </c>
      <c r="C11" s="7">
        <v>83</v>
      </c>
      <c r="D11" s="7">
        <v>2679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22</v>
      </c>
      <c r="B12" s="10" t="s">
        <v>77</v>
      </c>
      <c r="C12" s="11">
        <v>77</v>
      </c>
      <c r="D12" s="11">
        <v>2709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22</v>
      </c>
      <c r="B13" s="6" t="s">
        <v>77</v>
      </c>
      <c r="C13" s="7">
        <v>78</v>
      </c>
      <c r="D13" s="7">
        <v>2709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22</v>
      </c>
      <c r="B14" s="10" t="s">
        <v>77</v>
      </c>
      <c r="C14" s="11">
        <v>79</v>
      </c>
      <c r="D14" s="11">
        <v>2709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22</v>
      </c>
      <c r="B15" s="6" t="s">
        <v>77</v>
      </c>
      <c r="C15" s="7">
        <v>80</v>
      </c>
      <c r="D15" s="7">
        <v>2709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  <row r="16" spans="1:17" x14ac:dyDescent="0.3">
      <c r="A16" s="11" t="s">
        <v>22</v>
      </c>
      <c r="B16" s="10" t="s">
        <v>77</v>
      </c>
      <c r="C16" s="11">
        <v>81</v>
      </c>
      <c r="D16" s="11">
        <v>2709</v>
      </c>
      <c r="E16" s="11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13">
        <f t="shared" si="0"/>
        <v>0</v>
      </c>
    </row>
    <row r="17" spans="1:17" x14ac:dyDescent="0.3">
      <c r="A17" s="7" t="s">
        <v>22</v>
      </c>
      <c r="B17" s="6" t="s">
        <v>77</v>
      </c>
      <c r="C17" s="7">
        <v>93</v>
      </c>
      <c r="D17" s="7">
        <v>2709</v>
      </c>
      <c r="E17" s="7" t="s">
        <v>48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9">
        <f t="shared" si="0"/>
        <v>0</v>
      </c>
    </row>
    <row r="18" spans="1:17" x14ac:dyDescent="0.3">
      <c r="A18" s="11" t="s">
        <v>22</v>
      </c>
      <c r="B18" s="10" t="s">
        <v>77</v>
      </c>
      <c r="C18" s="11">
        <v>96</v>
      </c>
      <c r="D18" s="11">
        <v>2709</v>
      </c>
      <c r="E18" s="11" t="s">
        <v>48</v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13">
        <f t="shared" si="0"/>
        <v>0</v>
      </c>
    </row>
    <row r="19" spans="1:17" x14ac:dyDescent="0.3">
      <c r="A19" s="7" t="s">
        <v>22</v>
      </c>
      <c r="B19" s="6" t="s">
        <v>77</v>
      </c>
      <c r="C19" s="7">
        <v>100</v>
      </c>
      <c r="D19" s="7">
        <v>2709</v>
      </c>
      <c r="E19" s="7" t="s">
        <v>48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9">
        <f t="shared" si="0"/>
        <v>0</v>
      </c>
    </row>
  </sheetData>
  <autoFilter ref="A3:O19" xr:uid="{00000000-0009-0000-0000-000004000000}"/>
  <mergeCells count="2">
    <mergeCell ref="A1:Q1"/>
    <mergeCell ref="A2:Q2"/>
  </mergeCells>
  <dataValidations count="1">
    <dataValidation type="list" allowBlank="1" sqref="E4:E19" xr:uid="{00000000-0002-0000-04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7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78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22</v>
      </c>
      <c r="B4" s="10" t="s">
        <v>79</v>
      </c>
      <c r="C4" s="11">
        <v>103</v>
      </c>
      <c r="D4" s="11">
        <v>2439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7" si="0">SUM(F4:P4)</f>
        <v>0</v>
      </c>
    </row>
    <row r="5" spans="1:17" x14ac:dyDescent="0.3">
      <c r="A5" s="7" t="s">
        <v>22</v>
      </c>
      <c r="B5" s="6" t="s">
        <v>79</v>
      </c>
      <c r="C5" s="7">
        <v>104</v>
      </c>
      <c r="D5" s="7">
        <v>2439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22</v>
      </c>
      <c r="B6" s="10" t="s">
        <v>79</v>
      </c>
      <c r="C6" s="11">
        <v>105</v>
      </c>
      <c r="D6" s="11">
        <v>2439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22</v>
      </c>
      <c r="B7" s="6" t="s">
        <v>79</v>
      </c>
      <c r="C7" s="7">
        <v>106</v>
      </c>
      <c r="D7" s="7">
        <v>2439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22</v>
      </c>
      <c r="B8" s="10" t="s">
        <v>79</v>
      </c>
      <c r="C8" s="11">
        <v>107</v>
      </c>
      <c r="D8" s="11">
        <v>2439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22</v>
      </c>
      <c r="B9" s="6" t="s">
        <v>79</v>
      </c>
      <c r="C9" s="7">
        <v>108</v>
      </c>
      <c r="D9" s="7">
        <v>2439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22</v>
      </c>
      <c r="B10" s="10" t="s">
        <v>79</v>
      </c>
      <c r="C10" s="11">
        <v>129</v>
      </c>
      <c r="D10" s="11">
        <v>2439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22</v>
      </c>
      <c r="B11" s="6" t="s">
        <v>79</v>
      </c>
      <c r="C11" s="7">
        <v>130</v>
      </c>
      <c r="D11" s="7">
        <v>2439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22</v>
      </c>
      <c r="B12" s="10" t="s">
        <v>80</v>
      </c>
      <c r="C12" s="11">
        <v>109</v>
      </c>
      <c r="D12" s="11">
        <v>1797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22</v>
      </c>
      <c r="B13" s="6" t="s">
        <v>80</v>
      </c>
      <c r="C13" s="7">
        <v>110</v>
      </c>
      <c r="D13" s="7">
        <v>1797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22</v>
      </c>
      <c r="B14" s="10" t="s">
        <v>80</v>
      </c>
      <c r="C14" s="11">
        <v>111</v>
      </c>
      <c r="D14" s="11">
        <v>1797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22</v>
      </c>
      <c r="B15" s="6" t="s">
        <v>80</v>
      </c>
      <c r="C15" s="7">
        <v>112</v>
      </c>
      <c r="D15" s="7">
        <v>1797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  <row r="16" spans="1:17" x14ac:dyDescent="0.3">
      <c r="A16" s="11" t="s">
        <v>22</v>
      </c>
      <c r="B16" s="10" t="s">
        <v>80</v>
      </c>
      <c r="C16" s="11">
        <v>113</v>
      </c>
      <c r="D16" s="11">
        <v>1797</v>
      </c>
      <c r="E16" s="11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13">
        <f t="shared" si="0"/>
        <v>0</v>
      </c>
    </row>
    <row r="17" spans="1:17" x14ac:dyDescent="0.3">
      <c r="A17" s="7" t="s">
        <v>22</v>
      </c>
      <c r="B17" s="6" t="s">
        <v>80</v>
      </c>
      <c r="C17" s="7">
        <v>114</v>
      </c>
      <c r="D17" s="7">
        <v>1797</v>
      </c>
      <c r="E17" s="7" t="s">
        <v>48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9">
        <f t="shared" si="0"/>
        <v>0</v>
      </c>
    </row>
  </sheetData>
  <autoFilter ref="A3:O17" xr:uid="{00000000-0009-0000-0000-000005000000}"/>
  <mergeCells count="2">
    <mergeCell ref="A1:Q1"/>
    <mergeCell ref="A2:Q2"/>
  </mergeCells>
  <dataValidations count="1">
    <dataValidation type="list" allowBlank="1" sqref="E4:E17" xr:uid="{00000000-0002-0000-05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6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81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20</v>
      </c>
      <c r="B4" s="10" t="s">
        <v>82</v>
      </c>
      <c r="C4" s="11">
        <v>78</v>
      </c>
      <c r="D4" s="11">
        <v>1194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6" si="0">SUM(F4:P4)</f>
        <v>0</v>
      </c>
    </row>
    <row r="5" spans="1:17" x14ac:dyDescent="0.3">
      <c r="A5" s="7" t="s">
        <v>20</v>
      </c>
      <c r="B5" s="6" t="s">
        <v>82</v>
      </c>
      <c r="C5" s="7">
        <v>84</v>
      </c>
      <c r="D5" s="7">
        <v>1194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20</v>
      </c>
      <c r="B6" s="10" t="s">
        <v>82</v>
      </c>
      <c r="C6" s="11">
        <v>85</v>
      </c>
      <c r="D6" s="11">
        <v>1194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20</v>
      </c>
      <c r="B7" s="6" t="s">
        <v>82</v>
      </c>
      <c r="C7" s="7">
        <v>178</v>
      </c>
      <c r="D7" s="7">
        <v>1194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20</v>
      </c>
      <c r="B8" s="10" t="s">
        <v>83</v>
      </c>
      <c r="C8" s="11">
        <v>88</v>
      </c>
      <c r="D8" s="11">
        <v>837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20</v>
      </c>
      <c r="B9" s="6" t="s">
        <v>83</v>
      </c>
      <c r="C9" s="7">
        <v>89</v>
      </c>
      <c r="D9" s="7">
        <v>837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20</v>
      </c>
      <c r="B10" s="10" t="s">
        <v>83</v>
      </c>
      <c r="C10" s="11">
        <v>116</v>
      </c>
      <c r="D10" s="11">
        <v>837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20</v>
      </c>
      <c r="B11" s="6" t="s">
        <v>84</v>
      </c>
      <c r="C11" s="7">
        <v>79</v>
      </c>
      <c r="D11" s="7">
        <v>1934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20</v>
      </c>
      <c r="B12" s="10" t="s">
        <v>84</v>
      </c>
      <c r="C12" s="11">
        <v>80</v>
      </c>
      <c r="D12" s="11">
        <v>1934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20</v>
      </c>
      <c r="B13" s="6" t="s">
        <v>84</v>
      </c>
      <c r="C13" s="7">
        <v>81</v>
      </c>
      <c r="D13" s="7">
        <v>1934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20</v>
      </c>
      <c r="B14" s="10" t="s">
        <v>84</v>
      </c>
      <c r="C14" s="11">
        <v>82</v>
      </c>
      <c r="D14" s="11">
        <v>1934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20</v>
      </c>
      <c r="B15" s="6" t="s">
        <v>84</v>
      </c>
      <c r="C15" s="7">
        <v>83</v>
      </c>
      <c r="D15" s="7">
        <v>1934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  <row r="16" spans="1:17" x14ac:dyDescent="0.3">
      <c r="A16" s="11" t="s">
        <v>20</v>
      </c>
      <c r="B16" s="10" t="s">
        <v>84</v>
      </c>
      <c r="C16" s="11">
        <v>87</v>
      </c>
      <c r="D16" s="11">
        <v>1934</v>
      </c>
      <c r="E16" s="11" t="s">
        <v>48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13">
        <f t="shared" si="0"/>
        <v>0</v>
      </c>
    </row>
  </sheetData>
  <autoFilter ref="A3:O16" xr:uid="{00000000-0009-0000-0000-000006000000}"/>
  <mergeCells count="2">
    <mergeCell ref="A1:Q1"/>
    <mergeCell ref="A2:Q2"/>
  </mergeCells>
  <dataValidations count="1">
    <dataValidation type="list" allowBlank="1" sqref="E4:E16" xr:uid="{00000000-0002-0000-06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5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85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20</v>
      </c>
      <c r="B4" s="10" t="s">
        <v>86</v>
      </c>
      <c r="C4" s="11">
        <v>90</v>
      </c>
      <c r="D4" s="11">
        <v>1956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5" si="0">SUM(F4:P4)</f>
        <v>0</v>
      </c>
    </row>
    <row r="5" spans="1:17" x14ac:dyDescent="0.3">
      <c r="A5" s="7" t="s">
        <v>20</v>
      </c>
      <c r="B5" s="6" t="s">
        <v>86</v>
      </c>
      <c r="C5" s="7">
        <v>91</v>
      </c>
      <c r="D5" s="7">
        <v>1956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20</v>
      </c>
      <c r="B6" s="10" t="s">
        <v>86</v>
      </c>
      <c r="C6" s="11">
        <v>92</v>
      </c>
      <c r="D6" s="11">
        <v>1956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20</v>
      </c>
      <c r="B7" s="6" t="s">
        <v>86</v>
      </c>
      <c r="C7" s="7">
        <v>93</v>
      </c>
      <c r="D7" s="7">
        <v>1956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20</v>
      </c>
      <c r="B8" s="10" t="s">
        <v>86</v>
      </c>
      <c r="C8" s="11">
        <v>94</v>
      </c>
      <c r="D8" s="11">
        <v>1956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20</v>
      </c>
      <c r="B9" s="6" t="s">
        <v>86</v>
      </c>
      <c r="C9" s="7">
        <v>95</v>
      </c>
      <c r="D9" s="7">
        <v>1956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20</v>
      </c>
      <c r="B10" s="10" t="s">
        <v>86</v>
      </c>
      <c r="C10" s="11">
        <v>96</v>
      </c>
      <c r="D10" s="11">
        <v>1956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20</v>
      </c>
      <c r="B11" s="6" t="s">
        <v>87</v>
      </c>
      <c r="C11" s="7">
        <v>97</v>
      </c>
      <c r="D11" s="7">
        <v>159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20</v>
      </c>
      <c r="B12" s="10" t="s">
        <v>88</v>
      </c>
      <c r="C12" s="11">
        <v>112</v>
      </c>
      <c r="D12" s="11">
        <v>1189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20</v>
      </c>
      <c r="B13" s="6" t="s">
        <v>88</v>
      </c>
      <c r="C13" s="7">
        <v>130</v>
      </c>
      <c r="D13" s="7">
        <v>1189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20</v>
      </c>
      <c r="B14" s="10" t="s">
        <v>88</v>
      </c>
      <c r="C14" s="11">
        <v>133</v>
      </c>
      <c r="D14" s="11">
        <v>1189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20</v>
      </c>
      <c r="B15" s="6" t="s">
        <v>88</v>
      </c>
      <c r="C15" s="7">
        <v>136</v>
      </c>
      <c r="D15" s="7">
        <v>1189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</sheetData>
  <autoFilter ref="A3:O15" xr:uid="{00000000-0009-0000-0000-000007000000}"/>
  <mergeCells count="2">
    <mergeCell ref="A1:Q1"/>
    <mergeCell ref="A2:Q2"/>
  </mergeCells>
  <dataValidations count="1">
    <dataValidation type="list" allowBlank="1" sqref="E4:E15" xr:uid="{00000000-0002-0000-07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5"/>
  <sheetViews>
    <sheetView zoomScaleNormal="100" workbookViewId="0">
      <pane ySplit="3" topLeftCell="A4" activePane="bottomLeft" state="frozen"/>
      <selection pane="bottomLeft" sqref="A1:Q1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89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22</v>
      </c>
      <c r="B4" s="10" t="s">
        <v>90</v>
      </c>
      <c r="C4" s="11">
        <v>115</v>
      </c>
      <c r="D4" s="11">
        <v>1969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5" si="0">SUM(F4:P4)</f>
        <v>0</v>
      </c>
    </row>
    <row r="5" spans="1:17" x14ac:dyDescent="0.3">
      <c r="A5" s="7" t="s">
        <v>22</v>
      </c>
      <c r="B5" s="6" t="s">
        <v>90</v>
      </c>
      <c r="C5" s="7">
        <v>116</v>
      </c>
      <c r="D5" s="7">
        <v>1969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22</v>
      </c>
      <c r="B6" s="10" t="s">
        <v>90</v>
      </c>
      <c r="C6" s="11">
        <v>121</v>
      </c>
      <c r="D6" s="11">
        <v>1969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22</v>
      </c>
      <c r="B7" s="6" t="s">
        <v>90</v>
      </c>
      <c r="C7" s="7">
        <v>122</v>
      </c>
      <c r="D7" s="7">
        <v>1969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22</v>
      </c>
      <c r="B8" s="10" t="s">
        <v>90</v>
      </c>
      <c r="C8" s="11">
        <v>123</v>
      </c>
      <c r="D8" s="11">
        <v>1969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22</v>
      </c>
      <c r="B9" s="6" t="s">
        <v>90</v>
      </c>
      <c r="C9" s="7">
        <v>124</v>
      </c>
      <c r="D9" s="7">
        <v>1969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22</v>
      </c>
      <c r="B10" s="10" t="s">
        <v>90</v>
      </c>
      <c r="C10" s="11">
        <v>125</v>
      </c>
      <c r="D10" s="11">
        <v>1969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22</v>
      </c>
      <c r="B11" s="6" t="s">
        <v>90</v>
      </c>
      <c r="C11" s="7">
        <v>126</v>
      </c>
      <c r="D11" s="7">
        <v>1969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22</v>
      </c>
      <c r="B12" s="10" t="s">
        <v>91</v>
      </c>
      <c r="C12" s="11">
        <v>117</v>
      </c>
      <c r="D12" s="11">
        <v>1129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  <row r="13" spans="1:17" x14ac:dyDescent="0.3">
      <c r="A13" s="7" t="s">
        <v>22</v>
      </c>
      <c r="B13" s="6" t="s">
        <v>91</v>
      </c>
      <c r="C13" s="7">
        <v>118</v>
      </c>
      <c r="D13" s="7">
        <v>1129</v>
      </c>
      <c r="E13" s="7" t="s">
        <v>48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9">
        <f t="shared" si="0"/>
        <v>0</v>
      </c>
    </row>
    <row r="14" spans="1:17" x14ac:dyDescent="0.3">
      <c r="A14" s="11" t="s">
        <v>22</v>
      </c>
      <c r="B14" s="10" t="s">
        <v>91</v>
      </c>
      <c r="C14" s="11">
        <v>119</v>
      </c>
      <c r="D14" s="11">
        <v>1129</v>
      </c>
      <c r="E14" s="11" t="s">
        <v>48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3">
        <f t="shared" si="0"/>
        <v>0</v>
      </c>
    </row>
    <row r="15" spans="1:17" x14ac:dyDescent="0.3">
      <c r="A15" s="7" t="s">
        <v>22</v>
      </c>
      <c r="B15" s="6" t="s">
        <v>91</v>
      </c>
      <c r="C15" s="7">
        <v>120</v>
      </c>
      <c r="D15" s="7">
        <v>1129</v>
      </c>
      <c r="E15" s="7" t="s">
        <v>48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9">
        <f t="shared" si="0"/>
        <v>0</v>
      </c>
    </row>
  </sheetData>
  <autoFilter ref="A3:O15" xr:uid="{00000000-0009-0000-0000-000008000000}"/>
  <mergeCells count="2">
    <mergeCell ref="A1:Q1"/>
    <mergeCell ref="A2:Q2"/>
  </mergeCells>
  <dataValidations count="1">
    <dataValidation type="list" allowBlank="1" sqref="E4:E15" xr:uid="{00000000-0002-0000-08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7" customWidth="1"/>
    <col min="2" max="2" width="44" customWidth="1"/>
    <col min="3" max="3" width="8" customWidth="1"/>
    <col min="4" max="4" width="13" customWidth="1"/>
    <col min="5" max="5" width="11" customWidth="1"/>
    <col min="6" max="16" width="16" customWidth="1"/>
    <col min="17" max="17" width="13" customWidth="1"/>
  </cols>
  <sheetData>
    <row r="1" spans="1:17" ht="25.5" customHeight="1" x14ac:dyDescent="0.3">
      <c r="A1" s="23" t="s">
        <v>92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25.5" customHeight="1" x14ac:dyDescent="0.3">
      <c r="A2" s="30" t="s">
        <v>38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57.75" customHeight="1" x14ac:dyDescent="0.3">
      <c r="A3" s="1" t="s">
        <v>3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46</v>
      </c>
    </row>
    <row r="4" spans="1:17" x14ac:dyDescent="0.3">
      <c r="A4" s="11" t="s">
        <v>20</v>
      </c>
      <c r="B4" s="10" t="s">
        <v>93</v>
      </c>
      <c r="C4" s="11">
        <v>98</v>
      </c>
      <c r="D4" s="11">
        <v>1169</v>
      </c>
      <c r="E4" s="11" t="s">
        <v>48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13">
        <f t="shared" ref="Q4:Q12" si="0">SUM(F4:P4)</f>
        <v>0</v>
      </c>
    </row>
    <row r="5" spans="1:17" x14ac:dyDescent="0.3">
      <c r="A5" s="7" t="s">
        <v>20</v>
      </c>
      <c r="B5" s="6" t="s">
        <v>93</v>
      </c>
      <c r="C5" s="7">
        <v>99</v>
      </c>
      <c r="D5" s="7">
        <v>1169</v>
      </c>
      <c r="E5" s="7" t="s">
        <v>48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9">
        <f t="shared" si="0"/>
        <v>0</v>
      </c>
    </row>
    <row r="6" spans="1:17" x14ac:dyDescent="0.3">
      <c r="A6" s="11" t="s">
        <v>20</v>
      </c>
      <c r="B6" s="10" t="s">
        <v>93</v>
      </c>
      <c r="C6" s="11">
        <v>100</v>
      </c>
      <c r="D6" s="11">
        <v>1169</v>
      </c>
      <c r="E6" s="11" t="s">
        <v>48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13">
        <f t="shared" si="0"/>
        <v>0</v>
      </c>
    </row>
    <row r="7" spans="1:17" x14ac:dyDescent="0.3">
      <c r="A7" s="7" t="s">
        <v>20</v>
      </c>
      <c r="B7" s="6" t="s">
        <v>93</v>
      </c>
      <c r="C7" s="7">
        <v>134</v>
      </c>
      <c r="D7" s="7">
        <v>1169</v>
      </c>
      <c r="E7" s="7" t="s">
        <v>48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9">
        <f t="shared" si="0"/>
        <v>0</v>
      </c>
    </row>
    <row r="8" spans="1:17" x14ac:dyDescent="0.3">
      <c r="A8" s="11" t="s">
        <v>20</v>
      </c>
      <c r="B8" s="10" t="s">
        <v>94</v>
      </c>
      <c r="C8" s="11">
        <v>137</v>
      </c>
      <c r="D8" s="11">
        <v>1497</v>
      </c>
      <c r="E8" s="11" t="s">
        <v>48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13">
        <f t="shared" si="0"/>
        <v>0</v>
      </c>
    </row>
    <row r="9" spans="1:17" x14ac:dyDescent="0.3">
      <c r="A9" s="7" t="s">
        <v>20</v>
      </c>
      <c r="B9" s="6" t="s">
        <v>94</v>
      </c>
      <c r="C9" s="7">
        <v>171</v>
      </c>
      <c r="D9" s="7">
        <v>1497</v>
      </c>
      <c r="E9" s="7" t="s">
        <v>48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9">
        <f t="shared" si="0"/>
        <v>0</v>
      </c>
    </row>
    <row r="10" spans="1:17" x14ac:dyDescent="0.3">
      <c r="A10" s="11" t="s">
        <v>20</v>
      </c>
      <c r="B10" s="10" t="s">
        <v>94</v>
      </c>
      <c r="C10" s="11">
        <v>180</v>
      </c>
      <c r="D10" s="11">
        <v>1497</v>
      </c>
      <c r="E10" s="11" t="s">
        <v>48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13">
        <f t="shared" si="0"/>
        <v>0</v>
      </c>
    </row>
    <row r="11" spans="1:17" x14ac:dyDescent="0.3">
      <c r="A11" s="7" t="s">
        <v>20</v>
      </c>
      <c r="B11" s="6" t="s">
        <v>94</v>
      </c>
      <c r="C11" s="7">
        <v>183</v>
      </c>
      <c r="D11" s="7">
        <v>1497</v>
      </c>
      <c r="E11" s="7" t="s">
        <v>48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9">
        <f t="shared" si="0"/>
        <v>0</v>
      </c>
    </row>
    <row r="12" spans="1:17" x14ac:dyDescent="0.3">
      <c r="A12" s="11" t="s">
        <v>20</v>
      </c>
      <c r="B12" s="10" t="s">
        <v>94</v>
      </c>
      <c r="C12" s="11">
        <v>193</v>
      </c>
      <c r="D12" s="11">
        <v>1497</v>
      </c>
      <c r="E12" s="11" t="s">
        <v>48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13">
        <f t="shared" si="0"/>
        <v>0</v>
      </c>
    </row>
  </sheetData>
  <autoFilter ref="A3:O12" xr:uid="{00000000-0009-0000-0000-000009000000}"/>
  <mergeCells count="2">
    <mergeCell ref="A1:Q1"/>
    <mergeCell ref="A2:Q2"/>
  </mergeCells>
  <dataValidations count="1">
    <dataValidation type="list" allowBlank="1" sqref="E4:E12" xr:uid="{00000000-0002-0000-0900-000000000000}">
      <formula1>"Pendente,Apurada"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9</vt:i4>
      </vt:variant>
    </vt:vector>
  </HeadingPairs>
  <TitlesOfParts>
    <vt:vector size="19" baseType="lpstr">
      <vt:lpstr>Resumo por Município</vt:lpstr>
      <vt:lpstr>Monteiro</vt:lpstr>
      <vt:lpstr>Sumé</vt:lpstr>
      <vt:lpstr>Camalaú</vt:lpstr>
      <vt:lpstr>Congo</vt:lpstr>
      <vt:lpstr>Prata</vt:lpstr>
      <vt:lpstr>São João do Tigre</vt:lpstr>
      <vt:lpstr>São Sebastião do Umbuzeiro</vt:lpstr>
      <vt:lpstr>Ouro Velho</vt:lpstr>
      <vt:lpstr>Zabelê</vt:lpstr>
      <vt:lpstr>Camalaú!Titulos_de_impressao</vt:lpstr>
      <vt:lpstr>Congo!Titulos_de_impressao</vt:lpstr>
      <vt:lpstr>Monteiro!Titulos_de_impressao</vt:lpstr>
      <vt:lpstr>'Ouro Velho'!Titulos_de_impressao</vt:lpstr>
      <vt:lpstr>Prata!Titulos_de_impressao</vt:lpstr>
      <vt:lpstr>'São João do Tigre'!Titulos_de_impressao</vt:lpstr>
      <vt:lpstr>'São Sebastião do Umbuzeiro'!Titulos_de_impressao</vt:lpstr>
      <vt:lpstr>Sumé!Titulos_de_impressao</vt:lpstr>
      <vt:lpstr>Zabelê!Titulos_de_impressao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Emerson Siqueira</cp:lastModifiedBy>
  <cp:revision>0</cp:revision>
  <dcterms:created xsi:type="dcterms:W3CDTF">2026-09-06T13:25:13Z</dcterms:created>
  <dcterms:modified xsi:type="dcterms:W3CDTF">2026-09-25T17:43:01Z</dcterms:modified>
  <dc:language>en-US</dc:language>
</cp:coreProperties>
</file>